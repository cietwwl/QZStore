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90" windowWidth="28710" windowHeight="12960"/>
  </bookViews>
  <sheets>
    <sheet name="t_task_setting任务" sheetId="9" r:id="rId1"/>
    <sheet name="t_task_action_setting任务内容" sheetId="8" r:id="rId2"/>
    <sheet name="t_task_reward任务奖励" sheetId="10" r:id="rId3"/>
    <sheet name="t_task_box_reward活跃度奖励" sheetId="11" r:id="rId4"/>
    <sheet name="事件描述(不导入)" sheetId="3" r:id="rId5"/>
    <sheet name="准备方法说明(不导入)" sheetId="4" r:id="rId6"/>
    <sheet name="Sheet1" sheetId="5" r:id="rId7"/>
  </sheets>
  <calcPr calcId="144525"/>
</workbook>
</file>

<file path=xl/calcChain.xml><?xml version="1.0" encoding="utf-8"?>
<calcChain xmlns="http://schemas.openxmlformats.org/spreadsheetml/2006/main">
  <c r="M58" i="9" l="1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3" i="9"/>
</calcChain>
</file>

<file path=xl/comments1.xml><?xml version="1.0" encoding="utf-8"?>
<comments xmlns="http://schemas.openxmlformats.org/spreadsheetml/2006/main">
  <authors>
    <author>admin</author>
    <author>Administrator</author>
  </authors>
  <commentLis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排他ID为0可忽略
非零情况下，同一ID组下的任务在整个任务的生命周期内只能领取完成其中一个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//玩家id
playerLevel
//玩家声望值
fame
//vip等级
vipLevel</t>
        </r>
      </text>
    </comment>
    <comment ref="C2" authorId="1">
      <text>
        <r>
          <rPr>
            <sz val="9"/>
            <rFont val="宋体"/>
            <family val="3"/>
            <charset val="134"/>
          </rPr>
          <t>日常任务
DAILY_TASK,
名望任务
RENOWN_TASK</t>
        </r>
      </text>
    </comment>
  </commentList>
</comments>
</file>

<file path=xl/comments2.xml><?xml version="1.0" encoding="utf-8"?>
<comments xmlns="http://schemas.openxmlformats.org/spreadsheetml/2006/main">
  <authors>
    <author>szsf</author>
  </authors>
  <commentList>
    <comment ref="C2" authorId="0">
      <text>
        <r>
          <rPr>
            <sz val="9"/>
            <color indexed="81"/>
            <rFont val="宋体"/>
            <family val="3"/>
            <charset val="134"/>
          </rPr>
          <t>szsf:
中文描述</t>
        </r>
      </text>
    </comment>
    <comment ref="F2" authorId="0">
      <text>
        <r>
          <rPr>
            <sz val="9"/>
            <color indexed="81"/>
            <rFont val="宋体"/>
            <family val="3"/>
            <charset val="134"/>
          </rPr>
          <t>szsf:
从事件描述中选取</t>
        </r>
      </text>
    </comment>
    <comment ref="G2" authorId="0">
      <text>
        <r>
          <rPr>
            <sz val="9"/>
            <color indexed="81"/>
            <rFont val="宋体"/>
            <family val="3"/>
            <charset val="134"/>
          </rPr>
          <t>szsf:
可根据事件参数融合多条件
等于 ==
大于&gt;
大于等于&gt;=
小于 &lt;
小于等于 &lt;=
或者  ||
并且 &amp;&amp;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C6" authorId="0">
      <text>
        <r>
          <rPr>
            <sz val="9"/>
            <color indexed="81"/>
            <rFont val="宋体"/>
            <family val="3"/>
            <charset val="134"/>
          </rPr>
          <t>1 普通通关
	  			2 扫荡通关</t>
        </r>
      </text>
    </comment>
    <comment ref="C18" authorId="0">
      <text>
        <r>
          <rPr>
            <sz val="9"/>
            <rFont val="宋体"/>
            <family val="3"/>
            <charset val="134"/>
          </rPr>
          <t>1 金币召唤
	  			2 钻石召唤
	  			3 金币免费召唤
	  			4 钻石免费召唤</t>
        </r>
      </text>
    </comment>
  </commentList>
</comments>
</file>

<file path=xl/sharedStrings.xml><?xml version="1.0" encoding="utf-8"?>
<sst xmlns="http://schemas.openxmlformats.org/spreadsheetml/2006/main" count="831" uniqueCount="396">
  <si>
    <t>id</t>
  </si>
  <si>
    <t>taskType</t>
  </si>
  <si>
    <t>leadTaskId</t>
  </si>
  <si>
    <t>needPlayerLevel</t>
  </si>
  <si>
    <t>needFame</t>
  </si>
  <si>
    <t>rewardActive</t>
  </si>
  <si>
    <t>任务id</t>
  </si>
  <si>
    <t>任务类型</t>
  </si>
  <si>
    <t>前置任务(-1表示默认领取)</t>
  </si>
  <si>
    <t>任务具体行为</t>
  </si>
  <si>
    <t>任务需要玩家等级</t>
  </si>
  <si>
    <t>奖励活跃度(日常任务特有奖励)</t>
  </si>
  <si>
    <t>[1]</t>
  </si>
  <si>
    <t>10</t>
  </si>
  <si>
    <t>0</t>
  </si>
  <si>
    <t>description</t>
  </si>
  <si>
    <t>goalValue</t>
  </si>
  <si>
    <t>event</t>
  </si>
  <si>
    <t>eventCondition</t>
  </si>
  <si>
    <t>prepareMethod</t>
  </si>
  <si>
    <t>methodParams</t>
  </si>
  <si>
    <t>field</t>
  </si>
  <si>
    <t>dealautValue</t>
  </si>
  <si>
    <t>行为id</t>
  </si>
  <si>
    <t>描述</t>
  </si>
  <si>
    <t>目标值</t>
  </si>
  <si>
    <t>感兴趣的事件</t>
  </si>
  <si>
    <t>事件筛选</t>
  </si>
  <si>
    <t>执行一个方法获取变化值(优先级一)</t>
  </si>
  <si>
    <t>方法参数</t>
  </si>
  <si>
    <t>取事件中的值作为变化值(优先级二)</t>
  </si>
  <si>
    <t>收到事件后默认变化值(优先级三)</t>
  </si>
  <si>
    <t>HERO_LEVELUP</t>
  </si>
  <si>
    <t>[]</t>
  </si>
  <si>
    <t>count</t>
  </si>
  <si>
    <t>ISPASS_ZONE</t>
  </si>
  <si>
    <t>[11]</t>
  </si>
  <si>
    <t>主键id</t>
  </si>
  <si>
    <t>物品id</t>
  </si>
  <si>
    <t>类型</t>
  </si>
  <si>
    <t>数量</t>
  </si>
  <si>
    <t>等级</t>
  </si>
  <si>
    <t>taskId</t>
  </si>
  <si>
    <t>goods_id</t>
  </si>
  <si>
    <t>type</t>
  </si>
  <si>
    <t>num</t>
  </si>
  <si>
    <t>level</t>
  </si>
  <si>
    <t>事件描述</t>
  </si>
  <si>
    <t>事件参数描述</t>
  </si>
  <si>
    <t>升级英雄(伙伴)事件</t>
  </si>
  <si>
    <t>英雄id</t>
  </si>
  <si>
    <t>最终等级</t>
  </si>
  <si>
    <t>本次总共提升等级</t>
  </si>
  <si>
    <t>heroId</t>
  </si>
  <si>
    <t>通过关卡事件</t>
  </si>
  <si>
    <t>通过的关卡id</t>
  </si>
  <si>
    <t>battleId</t>
  </si>
  <si>
    <t>竞技场战斗事件</t>
  </si>
  <si>
    <t>武道大会战斗事件</t>
  </si>
  <si>
    <t>装备id</t>
  </si>
  <si>
    <t>升级后最终等级</t>
  </si>
  <si>
    <t>equipId</t>
  </si>
  <si>
    <t>召唤</t>
  </si>
  <si>
    <t>次数</t>
  </si>
  <si>
    <t>召唤类型</t>
  </si>
  <si>
    <t>玩家升级事件</t>
  </si>
  <si>
    <t>最新玩家等级</t>
  </si>
  <si>
    <t>获得英雄事件</t>
  </si>
  <si>
    <t>获得道具事件</t>
  </si>
  <si>
    <t>道具id</t>
  </si>
  <si>
    <t>获得数量</t>
  </si>
  <si>
    <t>goodsId</t>
  </si>
  <si>
    <t>方法</t>
  </si>
  <si>
    <t>参数</t>
  </si>
  <si>
    <t>参数描述</t>
  </si>
  <si>
    <t>获取玩家等级(队伍等级)</t>
  </si>
  <si>
    <t>是否通过指定关卡</t>
  </si>
  <si>
    <t>章节id</t>
  </si>
  <si>
    <t>关卡id</t>
  </si>
  <si>
    <t>zoneId</t>
  </si>
  <si>
    <t>是否通关整个指定章节</t>
  </si>
  <si>
    <t>[zoneId]</t>
  </si>
  <si>
    <t>查询指定章节获取的星星</t>
  </si>
  <si>
    <t>获取拥有X品质(星)以上的伙伴数量</t>
  </si>
  <si>
    <t>品质(星)</t>
  </si>
  <si>
    <t>[quality]</t>
  </si>
  <si>
    <t>quality</t>
  </si>
  <si>
    <t>获取今日装备提升等级之和</t>
  </si>
  <si>
    <t>获取今日英雄提升等级之和</t>
  </si>
  <si>
    <t>TODAY_HERO_LEVELUP_TIMES</t>
  </si>
  <si>
    <t>task_id</t>
  </si>
  <si>
    <t>需要名望</t>
    <phoneticPr fontId="1" type="noConversion"/>
  </si>
  <si>
    <t>物品类型</t>
    <phoneticPr fontId="6" type="noConversion"/>
  </si>
  <si>
    <t>1=英雄/伙伴</t>
    <phoneticPr fontId="6" type="noConversion"/>
  </si>
  <si>
    <t>物品ID填伙伴ID</t>
    <phoneticPr fontId="6" type="noConversion"/>
  </si>
  <si>
    <t>2=金币</t>
    <phoneticPr fontId="6" type="noConversion"/>
  </si>
  <si>
    <t>物品ID填0</t>
    <phoneticPr fontId="6" type="noConversion"/>
  </si>
  <si>
    <t>3=钻石</t>
    <phoneticPr fontId="6" type="noConversion"/>
  </si>
  <si>
    <t>4=道具</t>
    <phoneticPr fontId="6" type="noConversion"/>
  </si>
  <si>
    <t>物品ID填道具ID</t>
    <phoneticPr fontId="6" type="noConversion"/>
  </si>
  <si>
    <t>5=灵气</t>
    <phoneticPr fontId="6" type="noConversion"/>
  </si>
  <si>
    <t>6=装备</t>
    <phoneticPr fontId="6" type="noConversion"/>
  </si>
  <si>
    <t>7=武魂</t>
    <phoneticPr fontId="6" type="noConversion"/>
  </si>
  <si>
    <t>8=英雄经验池</t>
    <phoneticPr fontId="6" type="noConversion"/>
  </si>
  <si>
    <t>9=熔炼点数</t>
    <phoneticPr fontId="6" type="noConversion"/>
  </si>
  <si>
    <t>10=上古石板</t>
    <phoneticPr fontId="6" type="noConversion"/>
  </si>
  <si>
    <t>需要活跃度</t>
  </si>
  <si>
    <t>active</t>
  </si>
  <si>
    <t>DAILY_TASK</t>
    <phoneticPr fontId="1" type="noConversion"/>
  </si>
  <si>
    <t>RENOWN_TASK</t>
    <phoneticPr fontId="1" type="noConversion"/>
  </si>
  <si>
    <t>10</t>
    <phoneticPr fontId="1" type="noConversion"/>
  </si>
  <si>
    <t>20</t>
    <phoneticPr fontId="1" type="noConversion"/>
  </si>
  <si>
    <t>[2]</t>
    <phoneticPr fontId="1" type="noConversion"/>
  </si>
  <si>
    <t>[3]</t>
    <phoneticPr fontId="1" type="noConversion"/>
  </si>
  <si>
    <t>[4]</t>
  </si>
  <si>
    <t>[5]</t>
  </si>
  <si>
    <t>[6]</t>
  </si>
  <si>
    <t>[7]</t>
  </si>
  <si>
    <t>[8]</t>
  </si>
  <si>
    <t>[9]</t>
  </si>
  <si>
    <t>[10]</t>
  </si>
  <si>
    <t>[12]</t>
  </si>
  <si>
    <t>[13]</t>
  </si>
  <si>
    <t>[14]</t>
  </si>
  <si>
    <t>[15]</t>
  </si>
  <si>
    <t>[16]</t>
  </si>
  <si>
    <t>[17]</t>
  </si>
  <si>
    <t>[18]</t>
  </si>
  <si>
    <t>[19]</t>
  </si>
  <si>
    <t>[20]</t>
  </si>
  <si>
    <t>PASS_BATTLE</t>
    <phoneticPr fontId="1" type="noConversion"/>
  </si>
  <si>
    <t>ARENA_FIGHT</t>
    <phoneticPr fontId="1" type="noConversion"/>
  </si>
  <si>
    <t>MARTIALWAY_FIGHT</t>
    <phoneticPr fontId="1" type="noConversion"/>
  </si>
  <si>
    <t>CALL_HERO</t>
    <phoneticPr fontId="1" type="noConversion"/>
  </si>
  <si>
    <t>REWARD_HERO</t>
    <phoneticPr fontId="1" type="noConversion"/>
  </si>
  <si>
    <t>[zoneId,battleId]</t>
    <phoneticPr fontId="1" type="noConversion"/>
  </si>
  <si>
    <t>ISPASS_BATTLE</t>
    <phoneticPr fontId="1" type="noConversion"/>
  </si>
  <si>
    <t>battleId</t>
    <phoneticPr fontId="1" type="noConversion"/>
  </si>
  <si>
    <t>GET_ZONE_STAR</t>
    <phoneticPr fontId="1" type="noConversion"/>
  </si>
  <si>
    <t>LEVELUP_EQUIP</t>
    <phoneticPr fontId="1" type="noConversion"/>
  </si>
  <si>
    <t>TODAY_EQUIP_LEVELUP_TIMES</t>
    <phoneticPr fontId="1" type="noConversion"/>
  </si>
  <si>
    <t>HERO_LEVELUP</t>
    <phoneticPr fontId="1" type="noConversion"/>
  </si>
  <si>
    <t>level</t>
    <phoneticPr fontId="1" type="noConversion"/>
  </si>
  <si>
    <t>[21]</t>
  </si>
  <si>
    <t>[22]</t>
  </si>
  <si>
    <t>[23]</t>
  </si>
  <si>
    <t>[24]</t>
  </si>
  <si>
    <t>GET_HERO_BYQUALITY</t>
    <phoneticPr fontId="1" type="noConversion"/>
  </si>
  <si>
    <t>ADD_ITEM</t>
    <phoneticPr fontId="1" type="noConversion"/>
  </si>
  <si>
    <t>[25]</t>
  </si>
  <si>
    <t>[26]</t>
  </si>
  <si>
    <t>[27]</t>
  </si>
  <si>
    <t>[28]</t>
  </si>
  <si>
    <t>[29]</t>
  </si>
  <si>
    <t>[30]</t>
  </si>
  <si>
    <t>[31]</t>
  </si>
  <si>
    <t>[32]</t>
  </si>
  <si>
    <t>[33]</t>
  </si>
  <si>
    <t>[34]</t>
  </si>
  <si>
    <t>[35]</t>
  </si>
  <si>
    <t>[36]</t>
  </si>
  <si>
    <t>[37]</t>
  </si>
  <si>
    <t>[38]</t>
  </si>
  <si>
    <t>[39]</t>
  </si>
  <si>
    <t>[40]</t>
  </si>
  <si>
    <t>1001</t>
    <phoneticPr fontId="1" type="noConversion"/>
  </si>
  <si>
    <t>playerLevel</t>
    <phoneticPr fontId="1" type="noConversion"/>
  </si>
  <si>
    <t>PLAYER_UPLEVEL</t>
    <phoneticPr fontId="1" type="noConversion"/>
  </si>
  <si>
    <t>level</t>
    <phoneticPr fontId="1" type="noConversion"/>
  </si>
  <si>
    <t>GET_PLAYERLEVEL</t>
    <phoneticPr fontId="1" type="noConversion"/>
  </si>
  <si>
    <t>获取累计装备提升等级之和</t>
  </si>
  <si>
    <t>EQUIP_LEVELUP_TIMES</t>
  </si>
  <si>
    <t>获取累计英雄提升等级之和</t>
  </si>
  <si>
    <t>HERO_LEVELUP_TIMES</t>
  </si>
  <si>
    <t>获取累计竞技场挑战次数</t>
  </si>
  <si>
    <t>ARENAFIGHT_COUNT</t>
  </si>
  <si>
    <t>累计武道大会挑战次数</t>
  </si>
  <si>
    <t>MARTIALWAY_FIGHTCOUNT</t>
  </si>
  <si>
    <t>累计获得道具数量</t>
  </si>
  <si>
    <t>ADDITEM_COUNT</t>
  </si>
  <si>
    <t>id</t>
    <phoneticPr fontId="7" type="noConversion"/>
  </si>
  <si>
    <t>id</t>
    <phoneticPr fontId="1" type="noConversion"/>
  </si>
  <si>
    <t>前往按钮索引</t>
    <phoneticPr fontId="1" type="noConversion"/>
  </si>
  <si>
    <t>UpGrade</t>
    <phoneticPr fontId="1" type="noConversion"/>
  </si>
  <si>
    <t>Zone</t>
    <phoneticPr fontId="1" type="noConversion"/>
  </si>
  <si>
    <t>Equip</t>
    <phoneticPr fontId="1" type="noConversion"/>
  </si>
  <si>
    <t>Summon</t>
    <phoneticPr fontId="1" type="noConversion"/>
  </si>
  <si>
    <t>Evo</t>
    <phoneticPr fontId="1" type="noConversion"/>
  </si>
  <si>
    <t>module</t>
    <phoneticPr fontId="1" type="noConversion"/>
  </si>
  <si>
    <t>ADD_ITEM</t>
  </si>
  <si>
    <t>获得道具累积达到10件</t>
  </si>
  <si>
    <t>GET_HERO_BYQUALITY</t>
  </si>
  <si>
    <t>REWARD_HERO</t>
  </si>
  <si>
    <t>拥有5星伙伴数量达到10个</t>
  </si>
  <si>
    <t>拥有4星伙伴数量达到10个</t>
  </si>
  <si>
    <t>[3]</t>
  </si>
  <si>
    <t>拥有3星伙伴数量达到10个</t>
  </si>
  <si>
    <t>[2]</t>
  </si>
  <si>
    <t>拥有2星伙伴数量达到10个</t>
  </si>
  <si>
    <t>提升任意伙伴等级达到25级</t>
  </si>
  <si>
    <t>GET_PLAYERLEVEL</t>
  </si>
  <si>
    <t>PLAYER_UPLEVEL</t>
  </si>
  <si>
    <t>提升队伍等级达到22级</t>
  </si>
  <si>
    <t>LEVELUP_EQUIP</t>
  </si>
  <si>
    <t>强化装备累积达到30次</t>
  </si>
  <si>
    <t>强化任意1件装备达到20级</t>
  </si>
  <si>
    <t>MARTIALWAY_FIGHT</t>
  </si>
  <si>
    <t>在武道大会累积比武10次</t>
  </si>
  <si>
    <t>ARENA_FIGHT</t>
  </si>
  <si>
    <t>在竞技场累积战斗10次</t>
  </si>
  <si>
    <t>[1002]</t>
  </si>
  <si>
    <t>GET_ZONE_STAR</t>
  </si>
  <si>
    <t>PASS_BATTLE</t>
  </si>
  <si>
    <t>第二章获得总计3星</t>
  </si>
  <si>
    <t>[1001]</t>
  </si>
  <si>
    <t>第一章获得总计9星</t>
  </si>
  <si>
    <t>battleId==71001006</t>
  </si>
  <si>
    <t>通关第一章第六大关1次</t>
  </si>
  <si>
    <t>battleId==71001004</t>
  </si>
  <si>
    <t>通关第一章第四小关1次</t>
  </si>
  <si>
    <t>获得道具累积达到5件</t>
  </si>
  <si>
    <t>拥有5星伙伴数量达到5个</t>
  </si>
  <si>
    <t>拥有4星伙伴数量达到5个</t>
  </si>
  <si>
    <t>拥有3星伙伴数量达到5个</t>
  </si>
  <si>
    <t>拥有2星伙伴数量达到5个</t>
  </si>
  <si>
    <t>提升任意伙伴等级达到20级</t>
  </si>
  <si>
    <t>提升队伍等级达到10级</t>
  </si>
  <si>
    <t>强化装备累积达到20次</t>
  </si>
  <si>
    <t>强化任意1件装备达到10级</t>
  </si>
  <si>
    <t>在武道大会累积比武5次</t>
  </si>
  <si>
    <t>在竞技场累积战斗5次</t>
  </si>
  <si>
    <t>第一章获得总计6星</t>
  </si>
  <si>
    <t>第一章获得总计3星</t>
  </si>
  <si>
    <t>battleId==71001003</t>
  </si>
  <si>
    <t>通关第一章第三大关1次</t>
  </si>
  <si>
    <t>battleId==71001001</t>
  </si>
  <si>
    <t>通关第一章第一小关1次</t>
  </si>
  <si>
    <t>获得任意5个道具</t>
  </si>
  <si>
    <t>获得任意3个英雄</t>
  </si>
  <si>
    <t>提升队伍等级1级</t>
  </si>
  <si>
    <t>CALL_HERO</t>
  </si>
  <si>
    <t>钻石召唤1次</t>
  </si>
  <si>
    <t>金币召唤3次</t>
  </si>
  <si>
    <t>升级装备5次</t>
  </si>
  <si>
    <t>参与武道大会1次</t>
  </si>
  <si>
    <t>参与竞技场3次</t>
  </si>
  <si>
    <t>升级英雄5次</t>
  </si>
  <si>
    <t>Bag 背包</t>
    <phoneticPr fontId="1" type="noConversion"/>
  </si>
  <si>
    <t>Decompose 分解</t>
  </si>
  <si>
    <t>Email 邮箱</t>
  </si>
  <si>
    <t>Equip 装备</t>
    <phoneticPr fontId="1" type="noConversion"/>
  </si>
  <si>
    <t>Evo 进化</t>
    <phoneticPr fontId="1" type="noConversion"/>
  </si>
  <si>
    <t>Market 商城</t>
  </si>
  <si>
    <t>Partner 伙伴</t>
  </si>
  <si>
    <t>Smelt 熔炼</t>
  </si>
  <si>
    <t>Social 好友</t>
  </si>
  <si>
    <t>Summon 召唤</t>
    <phoneticPr fontId="1" type="noConversion"/>
  </si>
  <si>
    <t>Talk 聊天</t>
  </si>
  <si>
    <t>UpGrade 英雄升级</t>
    <phoneticPr fontId="1" type="noConversion"/>
  </si>
  <si>
    <t>Zone 副本</t>
    <phoneticPr fontId="1" type="noConversion"/>
  </si>
  <si>
    <t>BuyGold 购买金币</t>
    <phoneticPr fontId="1" type="noConversion"/>
  </si>
  <si>
    <t>索引地点</t>
    <phoneticPr fontId="1" type="noConversion"/>
  </si>
  <si>
    <t>Athletics 竞技场</t>
    <phoneticPr fontId="1" type="noConversion"/>
  </si>
  <si>
    <t>Athletics</t>
    <phoneticPr fontId="1" type="noConversion"/>
  </si>
  <si>
    <t>提示框标题</t>
    <phoneticPr fontId="1" type="noConversion"/>
  </si>
  <si>
    <t>teskName</t>
    <phoneticPr fontId="1" type="noConversion"/>
  </si>
  <si>
    <t>升级英雄</t>
    <phoneticPr fontId="1" type="noConversion"/>
  </si>
  <si>
    <t>参与竞技场</t>
    <phoneticPr fontId="1" type="noConversion"/>
  </si>
  <si>
    <t>参与武道大会</t>
    <phoneticPr fontId="1" type="noConversion"/>
  </si>
  <si>
    <t>升级装备</t>
    <phoneticPr fontId="1" type="noConversion"/>
  </si>
  <si>
    <t>金币召唤</t>
    <phoneticPr fontId="1" type="noConversion"/>
  </si>
  <si>
    <t>钻石召唤</t>
    <phoneticPr fontId="1" type="noConversion"/>
  </si>
  <si>
    <t>提升队伍</t>
    <phoneticPr fontId="1" type="noConversion"/>
  </si>
  <si>
    <t>获得英雄</t>
    <phoneticPr fontId="1" type="noConversion"/>
  </si>
  <si>
    <t>获得道具</t>
    <phoneticPr fontId="1" type="noConversion"/>
  </si>
  <si>
    <t>通关关卡</t>
    <phoneticPr fontId="1" type="noConversion"/>
  </si>
  <si>
    <t>参与武道大会</t>
    <phoneticPr fontId="1" type="noConversion"/>
  </si>
  <si>
    <t>升级装备</t>
    <phoneticPr fontId="1" type="noConversion"/>
  </si>
  <si>
    <t>提升伙伴</t>
    <phoneticPr fontId="1" type="noConversion"/>
  </si>
  <si>
    <t>获得伙伴</t>
    <phoneticPr fontId="1" type="noConversion"/>
  </si>
  <si>
    <t>count</t>
    <phoneticPr fontId="1" type="noConversion"/>
  </si>
  <si>
    <t>EQUIP_LEVELUP_TIMES</t>
    <phoneticPr fontId="1" type="noConversion"/>
  </si>
  <si>
    <t>PASS_BATTLE</t>
    <phoneticPr fontId="1" type="noConversion"/>
  </si>
  <si>
    <t>level&gt;=20</t>
    <phoneticPr fontId="1" type="noConversion"/>
  </si>
  <si>
    <t>level&gt;=25</t>
    <phoneticPr fontId="1" type="noConversion"/>
  </si>
  <si>
    <t>upLevel</t>
    <phoneticPr fontId="1" type="noConversion"/>
  </si>
  <si>
    <t>通关类型</t>
  </si>
  <si>
    <t>通关次数</t>
  </si>
  <si>
    <t>type</t>
    <phoneticPr fontId="1" type="noConversion"/>
  </si>
  <si>
    <t>count</t>
    <phoneticPr fontId="1" type="noConversion"/>
  </si>
  <si>
    <t>通关普通关卡10次</t>
    <phoneticPr fontId="1" type="noConversion"/>
  </si>
  <si>
    <t>升级装备</t>
    <phoneticPr fontId="1" type="noConversion"/>
  </si>
  <si>
    <t>强化(升级)装备</t>
    <phoneticPr fontId="1" type="noConversion"/>
  </si>
  <si>
    <t>LEVELUP_EQUIP</t>
    <phoneticPr fontId="1" type="noConversion"/>
  </si>
  <si>
    <t>本次操作进行次数</t>
    <phoneticPr fontId="1" type="noConversion"/>
  </si>
  <si>
    <t>本次操作进行次数</t>
    <phoneticPr fontId="1" type="noConversion"/>
  </si>
  <si>
    <t>HERO_LEVELUP</t>
    <phoneticPr fontId="1" type="noConversion"/>
  </si>
  <si>
    <t>upLevel</t>
    <phoneticPr fontId="1" type="noConversion"/>
  </si>
  <si>
    <t>level&gt;=10</t>
    <phoneticPr fontId="1" type="noConversion"/>
  </si>
  <si>
    <t>ADD_ITEM</t>
    <phoneticPr fontId="1" type="noConversion"/>
  </si>
  <si>
    <t>num</t>
    <phoneticPr fontId="1" type="noConversion"/>
  </si>
  <si>
    <t>num</t>
    <phoneticPr fontId="1" type="noConversion"/>
  </si>
  <si>
    <t>type==1||type==3</t>
    <phoneticPr fontId="1" type="noConversion"/>
  </si>
  <si>
    <t>type==2||type==4</t>
    <phoneticPr fontId="1" type="noConversion"/>
  </si>
  <si>
    <t>MARTIALWAY_FIGHT</t>
    <phoneticPr fontId="1" type="noConversion"/>
  </si>
  <si>
    <t>领取条件</t>
    <phoneticPr fontId="1" type="noConversion"/>
  </si>
  <si>
    <t>排他Id</t>
    <phoneticPr fontId="1" type="noConversion"/>
  </si>
  <si>
    <t>0</t>
    <phoneticPr fontId="1" type="noConversion"/>
  </si>
  <si>
    <t>[41]</t>
  </si>
  <si>
    <t>[42]</t>
  </si>
  <si>
    <t>[43]</t>
  </si>
  <si>
    <t>[44]</t>
  </si>
  <si>
    <t>[45]</t>
  </si>
  <si>
    <t>[46]</t>
  </si>
  <si>
    <t>[47]</t>
  </si>
  <si>
    <t>[48]</t>
  </si>
  <si>
    <t>[49]</t>
  </si>
  <si>
    <t>[50]</t>
  </si>
  <si>
    <t>[51]</t>
  </si>
  <si>
    <t>[52]</t>
  </si>
  <si>
    <t>[53]</t>
  </si>
  <si>
    <t>[54]</t>
  </si>
  <si>
    <t>[55]</t>
  </si>
  <si>
    <t>1</t>
  </si>
  <si>
    <t>1</t>
    <phoneticPr fontId="1" type="noConversion"/>
  </si>
  <si>
    <t>vipLevel==2</t>
    <phoneticPr fontId="1" type="noConversion"/>
  </si>
  <si>
    <t>vipLevel==3</t>
  </si>
  <si>
    <t>vipLevel==4</t>
  </si>
  <si>
    <t>vipLevel==5</t>
  </si>
  <si>
    <t>vipLevel==6</t>
  </si>
  <si>
    <t>vipLevel==7</t>
  </si>
  <si>
    <t>vipLevel==8</t>
  </si>
  <si>
    <t>vipLevel==9</t>
  </si>
  <si>
    <t>vipLevel==10</t>
  </si>
  <si>
    <t>vipLevel==11</t>
  </si>
  <si>
    <t>vipLevel==12</t>
  </si>
  <si>
    <t>vipLevel==13</t>
  </si>
  <si>
    <t>vipLevel==14</t>
  </si>
  <si>
    <t>vipLevel==15</t>
  </si>
  <si>
    <t>IS_CYCLECARDUSER</t>
  </si>
  <si>
    <t>IS_VIPUSER</t>
  </si>
  <si>
    <t>vipLevel</t>
  </si>
  <si>
    <r>
      <t>需要达到v</t>
    </r>
    <r>
      <rPr>
        <sz val="12"/>
        <rFont val="宋体"/>
        <family val="3"/>
        <charset val="134"/>
      </rPr>
      <t>ip等级</t>
    </r>
    <phoneticPr fontId="1" type="noConversion"/>
  </si>
  <si>
    <t>[vipLevel]</t>
    <phoneticPr fontId="1" type="noConversion"/>
  </si>
  <si>
    <t>用户VIP等级是否&gt;=vipLevel</t>
    <phoneticPr fontId="1" type="noConversion"/>
  </si>
  <si>
    <t>BUY_CYCLECARD</t>
  </si>
  <si>
    <t>VIPLEVEL_UP</t>
  </si>
  <si>
    <t>vip升级事件</t>
  </si>
  <si>
    <t>oldLevel</t>
  </si>
  <si>
    <t>newLevel</t>
  </si>
  <si>
    <t>原来等级</t>
    <phoneticPr fontId="1" type="noConversion"/>
  </si>
  <si>
    <t>新等级</t>
    <phoneticPr fontId="1" type="noConversion"/>
  </si>
  <si>
    <t>[1]</t>
    <phoneticPr fontId="1" type="noConversion"/>
  </si>
  <si>
    <t>[2]</t>
    <phoneticPr fontId="1" type="noConversion"/>
  </si>
  <si>
    <t>vipLevel==1</t>
    <phoneticPr fontId="1" type="noConversion"/>
  </si>
  <si>
    <t>[56]</t>
  </si>
  <si>
    <t>distinctId</t>
    <phoneticPr fontId="1" type="noConversion"/>
  </si>
  <si>
    <t>taskActionList</t>
    <phoneticPr fontId="1" type="noConversion"/>
  </si>
  <si>
    <t>conditions</t>
    <phoneticPr fontId="1" type="noConversion"/>
  </si>
  <si>
    <t>0</t>
    <phoneticPr fontId="1" type="noConversion"/>
  </si>
  <si>
    <t>vip1特权:领取扫荡券</t>
    <phoneticPr fontId="1" type="noConversion"/>
  </si>
  <si>
    <t>vip2特权:领取扫荡券</t>
    <phoneticPr fontId="1" type="noConversion"/>
  </si>
  <si>
    <t>vip3特权:领取扫荡券</t>
    <phoneticPr fontId="1" type="noConversion"/>
  </si>
  <si>
    <t>vip4特权:领取扫荡券</t>
  </si>
  <si>
    <t>vip5特权:领取扫荡券</t>
  </si>
  <si>
    <t>vip6特权:领取扫荡券</t>
  </si>
  <si>
    <t>vip7特权:领取扫荡券</t>
  </si>
  <si>
    <t>vip8特权:领取扫荡券</t>
  </si>
  <si>
    <t>vip9特权:领取扫荡券</t>
  </si>
  <si>
    <t>vip10特权:领取扫荡券</t>
  </si>
  <si>
    <t>vip11特权:领取扫荡券</t>
  </si>
  <si>
    <t>vip12特权:领取扫荡券</t>
  </si>
  <si>
    <t>vip13特权:领取扫荡券</t>
  </si>
  <si>
    <t>vip14特权:领取扫荡券</t>
  </si>
  <si>
    <t>vip15特权:领取扫荡券</t>
  </si>
  <si>
    <t>领取扫荡券</t>
    <phoneticPr fontId="1" type="noConversion"/>
  </si>
  <si>
    <t>领取月卡奖励</t>
    <phoneticPr fontId="1" type="noConversion"/>
  </si>
  <si>
    <t>Recharge</t>
    <phoneticPr fontId="1" type="noConversion"/>
  </si>
  <si>
    <t>Recharge 充值界面</t>
    <phoneticPr fontId="1" type="noConversion"/>
  </si>
  <si>
    <t>BUY_CYCLECARD</t>
    <phoneticPr fontId="1" type="noConversion"/>
  </si>
  <si>
    <t>购买周期卡事件</t>
    <phoneticPr fontId="1" type="noConversion"/>
  </si>
  <si>
    <t>是否为指定周期卡用户,是返回1，否返回0</t>
    <phoneticPr fontId="1" type="noConversion"/>
  </si>
  <si>
    <r>
      <t>[</t>
    </r>
    <r>
      <rPr>
        <sz val="12"/>
        <rFont val="宋体"/>
        <family val="3"/>
        <charset val="134"/>
      </rPr>
      <t>cardType</t>
    </r>
    <r>
      <rPr>
        <sz val="12"/>
        <rFont val="宋体"/>
        <family val="3"/>
        <charset val="134"/>
      </rPr>
      <t>]</t>
    </r>
    <phoneticPr fontId="1" type="noConversion"/>
  </si>
  <si>
    <t>cardType</t>
    <phoneticPr fontId="1" type="noConversion"/>
  </si>
  <si>
    <r>
      <t>周期卡I</t>
    </r>
    <r>
      <rPr>
        <sz val="12"/>
        <rFont val="宋体"/>
        <family val="3"/>
        <charset val="134"/>
      </rPr>
      <t>D</t>
    </r>
    <phoneticPr fontId="1" type="noConversion"/>
  </si>
  <si>
    <t>[57]</t>
    <phoneticPr fontId="1" type="noConversion"/>
  </si>
  <si>
    <t>购买周卡，每天领取少量钻石</t>
    <phoneticPr fontId="1" type="noConversion"/>
  </si>
  <si>
    <t>购买月卡，每天领取大量钻石</t>
    <phoneticPr fontId="1" type="noConversion"/>
  </si>
  <si>
    <t>领取周卡奖励</t>
    <phoneticPr fontId="1" type="noConversion"/>
  </si>
  <si>
    <t>[7]</t>
    <phoneticPr fontId="1" type="noConversion"/>
  </si>
  <si>
    <t>[8]</t>
    <phoneticPr fontId="1" type="noConversion"/>
  </si>
  <si>
    <t>0</t>
    <phoneticPr fontId="1" type="noConversion"/>
  </si>
  <si>
    <t>zoneType</t>
  </si>
  <si>
    <t>副本类型</t>
    <phoneticPr fontId="1" type="noConversion"/>
  </si>
  <si>
    <t>vipLevel==1&amp;&amp;playerLevel&gt;=10&amp;&amp;frame&gt;0</t>
    <phoneticPr fontId="1" type="noConversion"/>
  </si>
  <si>
    <t>vipLevel==2&amp;&amp;playerLevel&gt;=10&amp;&amp;frame&gt;0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</si>
</sst>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color rgb="FF000000"/>
      <name val="宋体"/>
      <family val="3"/>
      <charset val="134"/>
    </font>
    <font>
      <sz val="12"/>
      <name val="微软雅黑"/>
      <family val="2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4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Alignment="1">
      <alignment horizontal="center" vertical="center"/>
    </xf>
    <xf numFmtId="0" fontId="2" fillId="0" borderId="0" xfId="1">
      <alignment vertical="center"/>
    </xf>
    <xf numFmtId="0" fontId="4" fillId="0" borderId="0" xfId="1" applyNumberFormat="1" applyFont="1" applyFill="1" applyBorder="1" applyAlignment="1">
      <alignment horizontal="center" vertical="center" wrapText="1"/>
    </xf>
    <xf numFmtId="0" fontId="4" fillId="0" borderId="0" xfId="1" applyFont="1" applyFill="1" applyBorder="1">
      <alignment vertical="center"/>
    </xf>
    <xf numFmtId="0" fontId="4" fillId="0" borderId="0" xfId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/>
    </xf>
    <xf numFmtId="0" fontId="2" fillId="0" borderId="0" xfId="1" applyFill="1">
      <alignment vertical="center"/>
    </xf>
    <xf numFmtId="0" fontId="9" fillId="0" borderId="0" xfId="0" applyFont="1" applyAlignment="1">
      <alignment horizontal="center" vertical="center"/>
    </xf>
    <xf numFmtId="0" fontId="4" fillId="0" borderId="0" xfId="1" applyNumberFormat="1" applyFont="1" applyFill="1" applyAlignment="1">
      <alignment horizontal="center" vertical="center" wrapText="1"/>
    </xf>
    <xf numFmtId="0" fontId="4" fillId="0" borderId="0" xfId="1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4" fillId="0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>
      <alignment vertical="center"/>
    </xf>
  </cellXfs>
  <cellStyles count="2">
    <cellStyle name="常规" xfId="0" builtinId="0"/>
    <cellStyle name="常规 2" xfId="1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142875</xdr:rowOff>
        </xdr:from>
        <xdr:to>
          <xdr:col>0</xdr:col>
          <xdr:colOff>1276350</xdr:colOff>
          <xdr:row>3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zh-CN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task_setting</a:t>
              </a: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0</xdr:col>
          <xdr:colOff>1057275</xdr:colOff>
          <xdr:row>5</xdr:row>
          <xdr:rowOff>38100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zh-CN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task_action_setting</a:t>
              </a: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114300</xdr:rowOff>
        </xdr:from>
        <xdr:to>
          <xdr:col>0</xdr:col>
          <xdr:colOff>942975</xdr:colOff>
          <xdr:row>5</xdr:row>
          <xdr:rowOff>142875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zh-CN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task_reward</a:t>
              </a: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</xdr:row>
          <xdr:rowOff>66675</xdr:rowOff>
        </xdr:from>
        <xdr:to>
          <xdr:col>0</xdr:col>
          <xdr:colOff>981075</xdr:colOff>
          <xdr:row>5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zh-CN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task_box_reward</a:t>
              </a: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9" name="t_task_setting" displayName="t_task_setting" ref="B2:K59" totalsRowShown="0" headerRowDxfId="41" dataDxfId="40">
  <autoFilter ref="B2:K59"/>
  <tableColumns count="10">
    <tableColumn id="1" name="id" dataDxfId="39"/>
    <tableColumn id="2" name="taskType" dataDxfId="38"/>
    <tableColumn id="3" name="leadTaskId" dataDxfId="37"/>
    <tableColumn id="4" name="taskActionList" dataDxfId="36"/>
    <tableColumn id="10" name="distinctId" dataDxfId="35"/>
    <tableColumn id="9" name="conditions" dataDxfId="34"/>
    <tableColumn id="5" name="needPlayerLevel" dataDxfId="33"/>
    <tableColumn id="6" name="needFame" dataDxfId="32"/>
    <tableColumn id="7" name="rewardActive" dataDxfId="31"/>
    <tableColumn id="8" name="module" dataDxfId="3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_task_action_setting" displayName="t_task_action_setting" ref="B2:E59" totalsRowShown="0" headerRowDxfId="29" dataDxfId="28" headerRowCellStyle="常规 2" dataCellStyle="常规 2">
  <autoFilter ref="B2:E59"/>
  <tableColumns count="4">
    <tableColumn id="1" name="id" dataDxfId="27" dataCellStyle="常规 2"/>
    <tableColumn id="2" name="description" dataDxfId="26" dataCellStyle="常规 2"/>
    <tableColumn id="3" name="goalValue" dataDxfId="25" dataCellStyle="常规 2"/>
    <tableColumn id="4" name="teskName" dataDxfId="24" dataCellStyle="常规 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" name="表6" displayName="表6" ref="F2:K59" totalsRowShown="0" headerRowDxfId="23" dataDxfId="22" headerRowCellStyle="常规 2" dataCellStyle="常规 2">
  <autoFilter ref="F2:K59"/>
  <tableColumns count="6">
    <tableColumn id="1" name="event" dataDxfId="21" dataCellStyle="常规 2"/>
    <tableColumn id="2" name="eventCondition" dataDxfId="20" dataCellStyle="常规 2"/>
    <tableColumn id="3" name="prepareMethod" dataDxfId="19" dataCellStyle="常规 2"/>
    <tableColumn id="4" name="methodParams" dataDxfId="18" dataCellStyle="常规 2"/>
    <tableColumn id="5" name="field" dataDxfId="17" dataCellStyle="常规 2"/>
    <tableColumn id="6" name="dealautValue" dataDxfId="16" dataCellStyle="常规 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t_task_reward" displayName="t_task_reward" ref="B2:G64" totalsRowShown="0" headerRowDxfId="15" dataDxfId="14">
  <autoFilter ref="B2:G64"/>
  <tableColumns count="6">
    <tableColumn id="1" name="id" dataDxfId="13"/>
    <tableColumn id="2" name="taskId" dataDxfId="12"/>
    <tableColumn id="3" name="goods_id" dataDxfId="11"/>
    <tableColumn id="4" name="type" dataDxfId="10"/>
    <tableColumn id="5" name="num" dataDxfId="9"/>
    <tableColumn id="6" name="leve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2" name="t_task_box_reward" displayName="t_task_box_reward" ref="B2:G17" totalsRowShown="0" headerRowDxfId="7" dataDxfId="6">
  <autoFilter ref="B2:G17"/>
  <tableColumns count="6">
    <tableColumn id="1" name="id" dataDxfId="5"/>
    <tableColumn id="2" name="active" dataDxfId="4"/>
    <tableColumn id="3" name="goods_id" dataDxfId="3"/>
    <tableColumn id="4" name="type" dataDxfId="2"/>
    <tableColumn id="5" name="num" dataDxfId="1"/>
    <tableColumn id="6" name="lev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2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M59"/>
  <sheetViews>
    <sheetView tabSelected="1" workbookViewId="0">
      <selection activeCell="G4" sqref="G4"/>
    </sheetView>
  </sheetViews>
  <sheetFormatPr defaultRowHeight="14.25" x14ac:dyDescent="0.15"/>
  <cols>
    <col min="1" max="1" width="18.875" customWidth="1"/>
    <col min="3" max="3" width="15.375" customWidth="1"/>
    <col min="4" max="4" width="21.25" customWidth="1"/>
    <col min="5" max="6" width="20" customWidth="1"/>
    <col min="7" max="7" width="44.5" customWidth="1"/>
    <col min="8" max="8" width="19.75" customWidth="1"/>
    <col min="9" max="9" width="12" customWidth="1"/>
    <col min="10" max="10" width="30.625" customWidth="1"/>
    <col min="11" max="11" width="18.875" customWidth="1"/>
    <col min="12" max="12" width="22.875" customWidth="1"/>
    <col min="13" max="13" width="14.5" customWidth="1"/>
  </cols>
  <sheetData>
    <row r="1" spans="2:13" ht="17.25" x14ac:dyDescent="0.15">
      <c r="B1" s="3" t="s">
        <v>6</v>
      </c>
      <c r="C1" s="3" t="s">
        <v>7</v>
      </c>
      <c r="D1" s="3" t="s">
        <v>8</v>
      </c>
      <c r="E1" s="3" t="s">
        <v>9</v>
      </c>
      <c r="F1" s="3" t="s">
        <v>306</v>
      </c>
      <c r="G1" s="3" t="s">
        <v>305</v>
      </c>
      <c r="H1" s="3" t="s">
        <v>10</v>
      </c>
      <c r="I1" s="3" t="s">
        <v>91</v>
      </c>
      <c r="J1" s="3" t="s">
        <v>11</v>
      </c>
      <c r="K1" s="3" t="s">
        <v>182</v>
      </c>
      <c r="L1" s="16" t="s">
        <v>261</v>
      </c>
    </row>
    <row r="2" spans="2:13" ht="17.25" x14ac:dyDescent="0.15">
      <c r="B2" s="3" t="s">
        <v>0</v>
      </c>
      <c r="C2" s="3" t="s">
        <v>1</v>
      </c>
      <c r="D2" s="3" t="s">
        <v>2</v>
      </c>
      <c r="E2" s="3" t="s">
        <v>357</v>
      </c>
      <c r="F2" s="3" t="s">
        <v>356</v>
      </c>
      <c r="G2" s="3" t="s">
        <v>358</v>
      </c>
      <c r="H2" s="3" t="s">
        <v>3</v>
      </c>
      <c r="I2" s="3" t="s">
        <v>4</v>
      </c>
      <c r="J2" s="3" t="s">
        <v>5</v>
      </c>
      <c r="K2" s="3" t="s">
        <v>188</v>
      </c>
      <c r="L2" s="16" t="s">
        <v>262</v>
      </c>
    </row>
    <row r="3" spans="2:13" ht="33" x14ac:dyDescent="0.15">
      <c r="B3" s="4" t="s">
        <v>165</v>
      </c>
      <c r="C3" s="4" t="s">
        <v>108</v>
      </c>
      <c r="D3" s="4">
        <v>-1</v>
      </c>
      <c r="E3" s="4" t="s">
        <v>12</v>
      </c>
      <c r="F3" s="4" t="s">
        <v>307</v>
      </c>
      <c r="G3" s="21" t="s">
        <v>394</v>
      </c>
      <c r="H3" s="4" t="s">
        <v>13</v>
      </c>
      <c r="I3" s="4" t="s">
        <v>14</v>
      </c>
      <c r="J3" s="4" t="s">
        <v>111</v>
      </c>
      <c r="K3" s="8" t="s">
        <v>183</v>
      </c>
      <c r="L3" s="16" t="s">
        <v>247</v>
      </c>
      <c r="M3" s="22" t="str">
        <f>VLOOKUP(VALUE(MID(E3,2,LEN(E3)-2)),t_task_action_setting任务内容!$B$3:$C$59,2)</f>
        <v>升级英雄5次</v>
      </c>
    </row>
    <row r="4" spans="2:13" ht="17.25" x14ac:dyDescent="0.15">
      <c r="B4" s="3">
        <v>1002</v>
      </c>
      <c r="C4" s="4" t="s">
        <v>108</v>
      </c>
      <c r="D4" s="4">
        <v>-1</v>
      </c>
      <c r="E4" s="4" t="s">
        <v>112</v>
      </c>
      <c r="F4" s="4" t="s">
        <v>307</v>
      </c>
      <c r="G4" s="21" t="s">
        <v>395</v>
      </c>
      <c r="H4" s="4" t="s">
        <v>13</v>
      </c>
      <c r="I4" s="4" t="s">
        <v>14</v>
      </c>
      <c r="J4" s="4" t="s">
        <v>111</v>
      </c>
      <c r="K4" s="8" t="s">
        <v>184</v>
      </c>
      <c r="L4" s="16" t="s">
        <v>248</v>
      </c>
      <c r="M4" s="22" t="str">
        <f>VLOOKUP(VALUE(MID(E4,2,LEN(E4)-2)),t_task_action_setting任务内容!$B$3:$C$59,2)</f>
        <v>通关普通关卡10次</v>
      </c>
    </row>
    <row r="5" spans="2:13" ht="17.25" x14ac:dyDescent="0.15">
      <c r="B5" s="5">
        <v>1003</v>
      </c>
      <c r="C5" s="4" t="s">
        <v>108</v>
      </c>
      <c r="D5" s="4">
        <v>-1</v>
      </c>
      <c r="E5" s="4" t="s">
        <v>113</v>
      </c>
      <c r="F5" s="4" t="s">
        <v>14</v>
      </c>
      <c r="G5" s="21" t="s">
        <v>326</v>
      </c>
      <c r="H5" s="4" t="s">
        <v>13</v>
      </c>
      <c r="I5" s="4" t="s">
        <v>14</v>
      </c>
      <c r="J5" s="4" t="s">
        <v>111</v>
      </c>
      <c r="K5" s="8" t="s">
        <v>263</v>
      </c>
      <c r="L5" s="16" t="s">
        <v>249</v>
      </c>
      <c r="M5" s="22" t="str">
        <f>VLOOKUP(VALUE(MID(E5,2,LEN(E5)-2)),t_task_action_setting任务内容!$B$3:$C$59,2)</f>
        <v>参与竞技场3次</v>
      </c>
    </row>
    <row r="6" spans="2:13" ht="17.25" x14ac:dyDescent="0.15">
      <c r="B6" s="5">
        <v>1004</v>
      </c>
      <c r="C6" s="4" t="s">
        <v>108</v>
      </c>
      <c r="D6" s="4">
        <v>-1</v>
      </c>
      <c r="E6" s="4" t="s">
        <v>114</v>
      </c>
      <c r="F6" s="4" t="s">
        <v>14</v>
      </c>
      <c r="G6" s="21" t="s">
        <v>327</v>
      </c>
      <c r="H6" s="4" t="s">
        <v>13</v>
      </c>
      <c r="I6" s="4" t="s">
        <v>14</v>
      </c>
      <c r="J6" s="4" t="s">
        <v>111</v>
      </c>
      <c r="K6" s="8" t="s">
        <v>263</v>
      </c>
      <c r="L6" s="16" t="s">
        <v>250</v>
      </c>
      <c r="M6" s="22" t="str">
        <f>VLOOKUP(VALUE(MID(E6,2,LEN(E6)-2)),t_task_action_setting任务内容!$B$3:$C$59,2)</f>
        <v>参与武道大会1次</v>
      </c>
    </row>
    <row r="7" spans="2:13" ht="17.25" x14ac:dyDescent="0.15">
      <c r="B7" s="5">
        <v>1005</v>
      </c>
      <c r="C7" s="4" t="s">
        <v>108</v>
      </c>
      <c r="D7" s="4">
        <v>-1</v>
      </c>
      <c r="E7" s="4" t="s">
        <v>115</v>
      </c>
      <c r="F7" s="4" t="s">
        <v>14</v>
      </c>
      <c r="G7" s="21" t="s">
        <v>328</v>
      </c>
      <c r="H7" s="4" t="s">
        <v>13</v>
      </c>
      <c r="I7" s="4" t="s">
        <v>14</v>
      </c>
      <c r="J7" s="4" t="s">
        <v>111</v>
      </c>
      <c r="K7" s="8" t="s">
        <v>185</v>
      </c>
      <c r="L7" s="16" t="s">
        <v>251</v>
      </c>
      <c r="M7" s="22" t="str">
        <f>VLOOKUP(VALUE(MID(E7,2,LEN(E7)-2)),t_task_action_setting任务内容!$B$3:$C$59,2)</f>
        <v>升级装备5次</v>
      </c>
    </row>
    <row r="8" spans="2:13" ht="17.25" x14ac:dyDescent="0.15">
      <c r="B8" s="5">
        <v>1006</v>
      </c>
      <c r="C8" s="4" t="s">
        <v>108</v>
      </c>
      <c r="D8" s="4">
        <v>-1</v>
      </c>
      <c r="E8" s="4" t="s">
        <v>116</v>
      </c>
      <c r="F8" s="4" t="s">
        <v>14</v>
      </c>
      <c r="G8" s="21" t="s">
        <v>329</v>
      </c>
      <c r="H8" s="4" t="s">
        <v>111</v>
      </c>
      <c r="I8" s="4" t="s">
        <v>14</v>
      </c>
      <c r="J8" s="4" t="s">
        <v>110</v>
      </c>
      <c r="K8" s="8" t="s">
        <v>186</v>
      </c>
      <c r="L8" s="16" t="s">
        <v>252</v>
      </c>
      <c r="M8" s="22" t="str">
        <f>VLOOKUP(VALUE(MID(E8,2,LEN(E8)-2)),t_task_action_setting任务内容!$B$3:$C$59,2)</f>
        <v>金币召唤3次</v>
      </c>
    </row>
    <row r="9" spans="2:13" ht="17.25" x14ac:dyDescent="0.15">
      <c r="B9" s="4">
        <v>1007</v>
      </c>
      <c r="C9" s="4" t="s">
        <v>108</v>
      </c>
      <c r="D9" s="4">
        <v>-1</v>
      </c>
      <c r="E9" s="4" t="s">
        <v>117</v>
      </c>
      <c r="F9" s="4" t="s">
        <v>14</v>
      </c>
      <c r="G9" s="21" t="s">
        <v>330</v>
      </c>
      <c r="H9" s="4" t="s">
        <v>111</v>
      </c>
      <c r="I9" s="4" t="s">
        <v>14</v>
      </c>
      <c r="J9" s="4" t="s">
        <v>110</v>
      </c>
      <c r="K9" s="8" t="s">
        <v>186</v>
      </c>
      <c r="L9" s="16" t="s">
        <v>253</v>
      </c>
      <c r="M9" s="22" t="str">
        <f>VLOOKUP(VALUE(MID(E9,2,LEN(E9)-2)),t_task_action_setting任务内容!$B$3:$C$59,2)</f>
        <v>钻石召唤1次</v>
      </c>
    </row>
    <row r="10" spans="2:13" ht="17.25" x14ac:dyDescent="0.15">
      <c r="B10" s="3">
        <v>1008</v>
      </c>
      <c r="C10" s="4" t="s">
        <v>108</v>
      </c>
      <c r="D10" s="4">
        <v>-1</v>
      </c>
      <c r="E10" s="4" t="s">
        <v>118</v>
      </c>
      <c r="F10" s="4" t="s">
        <v>14</v>
      </c>
      <c r="G10" s="21" t="s">
        <v>331</v>
      </c>
      <c r="H10" s="4" t="s">
        <v>111</v>
      </c>
      <c r="I10" s="4" t="s">
        <v>14</v>
      </c>
      <c r="J10" s="4" t="s">
        <v>110</v>
      </c>
      <c r="K10" s="8" t="s">
        <v>184</v>
      </c>
      <c r="L10" s="16" t="s">
        <v>254</v>
      </c>
      <c r="M10" s="22" t="str">
        <f>VLOOKUP(VALUE(MID(E10,2,LEN(E10)-2)),t_task_action_setting任务内容!$B$3:$C$59,2)</f>
        <v>提升队伍等级1级</v>
      </c>
    </row>
    <row r="11" spans="2:13" ht="17.25" x14ac:dyDescent="0.15">
      <c r="B11" s="5">
        <v>1009</v>
      </c>
      <c r="C11" s="4" t="s">
        <v>108</v>
      </c>
      <c r="D11" s="4">
        <v>-1</v>
      </c>
      <c r="E11" s="4" t="s">
        <v>119</v>
      </c>
      <c r="F11" s="4" t="s">
        <v>14</v>
      </c>
      <c r="G11" s="21" t="s">
        <v>332</v>
      </c>
      <c r="H11" s="4" t="s">
        <v>111</v>
      </c>
      <c r="I11" s="4" t="s">
        <v>14</v>
      </c>
      <c r="J11" s="4" t="s">
        <v>110</v>
      </c>
      <c r="K11" s="8" t="s">
        <v>186</v>
      </c>
      <c r="L11" s="16" t="s">
        <v>255</v>
      </c>
      <c r="M11" s="22" t="str">
        <f>VLOOKUP(VALUE(MID(E11,2,LEN(E11)-2)),t_task_action_setting任务内容!$B$3:$C$59,2)</f>
        <v>获得任意3个英雄</v>
      </c>
    </row>
    <row r="12" spans="2:13" ht="17.25" x14ac:dyDescent="0.15">
      <c r="B12" s="5">
        <v>1010</v>
      </c>
      <c r="C12" s="4" t="s">
        <v>108</v>
      </c>
      <c r="D12" s="4">
        <v>-1</v>
      </c>
      <c r="E12" s="4" t="s">
        <v>120</v>
      </c>
      <c r="F12" s="4" t="s">
        <v>14</v>
      </c>
      <c r="G12" s="21" t="s">
        <v>333</v>
      </c>
      <c r="H12" s="4" t="s">
        <v>111</v>
      </c>
      <c r="I12" s="4" t="s">
        <v>14</v>
      </c>
      <c r="J12" s="4" t="s">
        <v>110</v>
      </c>
      <c r="K12" s="8" t="s">
        <v>184</v>
      </c>
      <c r="L12" s="16" t="s">
        <v>256</v>
      </c>
      <c r="M12" s="22" t="str">
        <f>VLOOKUP(VALUE(MID(E12,2,LEN(E12)-2)),t_task_action_setting任务内容!$B$3:$C$59,2)</f>
        <v>获得任意5个道具</v>
      </c>
    </row>
    <row r="13" spans="2:13" ht="17.25" x14ac:dyDescent="0.15">
      <c r="B13" s="4">
        <v>1011</v>
      </c>
      <c r="C13" s="5" t="s">
        <v>109</v>
      </c>
      <c r="D13" s="4">
        <v>-1</v>
      </c>
      <c r="E13" s="4" t="s">
        <v>36</v>
      </c>
      <c r="F13" s="4" t="s">
        <v>14</v>
      </c>
      <c r="G13" s="21" t="s">
        <v>334</v>
      </c>
      <c r="H13" s="5">
        <v>0</v>
      </c>
      <c r="I13" s="4" t="s">
        <v>14</v>
      </c>
      <c r="J13" s="5">
        <v>0</v>
      </c>
      <c r="K13" s="5" t="s">
        <v>184</v>
      </c>
      <c r="L13" s="16" t="s">
        <v>257</v>
      </c>
      <c r="M13" s="22" t="str">
        <f>VLOOKUP(VALUE(MID(E13,2,LEN(E13)-2)),t_task_action_setting任务内容!$B$3:$C$59,2)</f>
        <v>通关第一章第一小关1次</v>
      </c>
    </row>
    <row r="14" spans="2:13" ht="17.25" x14ac:dyDescent="0.15">
      <c r="B14" s="3">
        <v>1012</v>
      </c>
      <c r="C14" s="5" t="s">
        <v>109</v>
      </c>
      <c r="D14" s="4">
        <v>-1</v>
      </c>
      <c r="E14" s="4" t="s">
        <v>121</v>
      </c>
      <c r="F14" s="4" t="s">
        <v>14</v>
      </c>
      <c r="G14" s="21" t="s">
        <v>335</v>
      </c>
      <c r="H14" s="5">
        <v>0</v>
      </c>
      <c r="I14" s="4" t="s">
        <v>14</v>
      </c>
      <c r="J14" s="5">
        <v>0</v>
      </c>
      <c r="K14" s="5" t="s">
        <v>184</v>
      </c>
      <c r="L14" s="16" t="s">
        <v>258</v>
      </c>
      <c r="M14" s="22" t="str">
        <f>VLOOKUP(VALUE(MID(E14,2,LEN(E14)-2)),t_task_action_setting任务内容!$B$3:$C$59,2)</f>
        <v>通关第一章第三大关1次</v>
      </c>
    </row>
    <row r="15" spans="2:13" ht="17.25" x14ac:dyDescent="0.15">
      <c r="B15" s="5">
        <v>1013</v>
      </c>
      <c r="C15" s="5" t="s">
        <v>109</v>
      </c>
      <c r="D15" s="4">
        <v>-1</v>
      </c>
      <c r="E15" s="4" t="s">
        <v>122</v>
      </c>
      <c r="F15" s="4" t="s">
        <v>14</v>
      </c>
      <c r="G15" s="21" t="s">
        <v>336</v>
      </c>
      <c r="H15" s="5">
        <v>0</v>
      </c>
      <c r="I15" s="4" t="s">
        <v>14</v>
      </c>
      <c r="J15" s="5">
        <v>0</v>
      </c>
      <c r="K15" s="5" t="s">
        <v>184</v>
      </c>
      <c r="L15" s="16" t="s">
        <v>259</v>
      </c>
      <c r="M15" s="22" t="str">
        <f>VLOOKUP(VALUE(MID(E15,2,LEN(E15)-2)),t_task_action_setting任务内容!$B$3:$C$59,2)</f>
        <v>第一章获得总计3星</v>
      </c>
    </row>
    <row r="16" spans="2:13" ht="17.25" x14ac:dyDescent="0.15">
      <c r="B16" s="5">
        <v>1014</v>
      </c>
      <c r="C16" s="5" t="s">
        <v>109</v>
      </c>
      <c r="D16" s="4">
        <v>-1</v>
      </c>
      <c r="E16" s="4" t="s">
        <v>123</v>
      </c>
      <c r="F16" s="4" t="s">
        <v>14</v>
      </c>
      <c r="G16" s="21" t="s">
        <v>337</v>
      </c>
      <c r="H16" s="5">
        <v>0</v>
      </c>
      <c r="I16" s="4" t="s">
        <v>14</v>
      </c>
      <c r="J16" s="5">
        <v>0</v>
      </c>
      <c r="K16" s="5" t="s">
        <v>184</v>
      </c>
      <c r="L16" s="16" t="s">
        <v>260</v>
      </c>
      <c r="M16" s="22" t="str">
        <f>VLOOKUP(VALUE(MID(E16,2,LEN(E16)-2)),t_task_action_setting任务内容!$B$3:$C$59,2)</f>
        <v>第一章获得总计6星</v>
      </c>
    </row>
    <row r="17" spans="2:13" ht="17.25" x14ac:dyDescent="0.15">
      <c r="B17" s="5">
        <v>1015</v>
      </c>
      <c r="C17" s="5" t="s">
        <v>109</v>
      </c>
      <c r="D17" s="4">
        <v>-1</v>
      </c>
      <c r="E17" s="4" t="s">
        <v>124</v>
      </c>
      <c r="F17" s="4" t="s">
        <v>14</v>
      </c>
      <c r="G17" s="21" t="s">
        <v>338</v>
      </c>
      <c r="H17" s="5">
        <v>0</v>
      </c>
      <c r="I17" s="4" t="s">
        <v>14</v>
      </c>
      <c r="J17" s="5">
        <v>0</v>
      </c>
      <c r="K17" s="5" t="s">
        <v>263</v>
      </c>
      <c r="L17" s="16" t="s">
        <v>378</v>
      </c>
      <c r="M17" s="22" t="str">
        <f>VLOOKUP(VALUE(MID(E17,2,LEN(E17)-2)),t_task_action_setting任务内容!$B$3:$C$59,2)</f>
        <v>在竞技场累积战斗5次</v>
      </c>
    </row>
    <row r="18" spans="2:13" ht="16.5" x14ac:dyDescent="0.15">
      <c r="B18" s="4">
        <v>1016</v>
      </c>
      <c r="C18" s="5" t="s">
        <v>109</v>
      </c>
      <c r="D18" s="4">
        <v>-1</v>
      </c>
      <c r="E18" s="4" t="s">
        <v>125</v>
      </c>
      <c r="F18" s="4" t="s">
        <v>14</v>
      </c>
      <c r="G18" s="4"/>
      <c r="H18" s="5">
        <v>0</v>
      </c>
      <c r="I18" s="4" t="s">
        <v>14</v>
      </c>
      <c r="J18" s="5">
        <v>0</v>
      </c>
      <c r="K18" s="5" t="s">
        <v>263</v>
      </c>
      <c r="M18" s="22" t="str">
        <f>VLOOKUP(VALUE(MID(E18,2,LEN(E18)-2)),t_task_action_setting任务内容!$B$3:$C$59,2)</f>
        <v>在武道大会累积比武5次</v>
      </c>
    </row>
    <row r="19" spans="2:13" ht="16.5" x14ac:dyDescent="0.15">
      <c r="B19" s="3">
        <v>1017</v>
      </c>
      <c r="C19" s="5" t="s">
        <v>109</v>
      </c>
      <c r="D19" s="4">
        <v>-1</v>
      </c>
      <c r="E19" s="4" t="s">
        <v>126</v>
      </c>
      <c r="F19" s="4" t="s">
        <v>14</v>
      </c>
      <c r="G19" s="4"/>
      <c r="H19" s="5">
        <v>0</v>
      </c>
      <c r="I19" s="4" t="s">
        <v>14</v>
      </c>
      <c r="J19" s="5">
        <v>0</v>
      </c>
      <c r="K19" s="5" t="s">
        <v>185</v>
      </c>
      <c r="M19" s="22" t="str">
        <f>VLOOKUP(VALUE(MID(E19,2,LEN(E19)-2)),t_task_action_setting任务内容!$B$3:$C$59,2)</f>
        <v>强化任意1件装备达到10级</v>
      </c>
    </row>
    <row r="20" spans="2:13" ht="16.5" x14ac:dyDescent="0.15">
      <c r="B20" s="5">
        <v>1018</v>
      </c>
      <c r="C20" s="5" t="s">
        <v>109</v>
      </c>
      <c r="D20" s="4">
        <v>-1</v>
      </c>
      <c r="E20" s="4" t="s">
        <v>127</v>
      </c>
      <c r="F20" s="4" t="s">
        <v>14</v>
      </c>
      <c r="G20" s="4"/>
      <c r="H20" s="5">
        <v>0</v>
      </c>
      <c r="I20" s="4" t="s">
        <v>14</v>
      </c>
      <c r="J20" s="5">
        <v>0</v>
      </c>
      <c r="K20" s="5" t="s">
        <v>185</v>
      </c>
      <c r="M20" s="22" t="str">
        <f>VLOOKUP(VALUE(MID(E20,2,LEN(E20)-2)),t_task_action_setting任务内容!$B$3:$C$59,2)</f>
        <v>强化装备累积达到20次</v>
      </c>
    </row>
    <row r="21" spans="2:13" ht="16.5" x14ac:dyDescent="0.15">
      <c r="B21" s="5">
        <v>1019</v>
      </c>
      <c r="C21" s="5" t="s">
        <v>109</v>
      </c>
      <c r="D21" s="4">
        <v>-1</v>
      </c>
      <c r="E21" s="4" t="s">
        <v>128</v>
      </c>
      <c r="F21" s="4" t="s">
        <v>14</v>
      </c>
      <c r="G21" s="4"/>
      <c r="H21" s="5">
        <v>0</v>
      </c>
      <c r="I21" s="4" t="s">
        <v>14</v>
      </c>
      <c r="J21" s="5">
        <v>0</v>
      </c>
      <c r="K21" s="5" t="s">
        <v>184</v>
      </c>
      <c r="M21" s="22" t="str">
        <f>VLOOKUP(VALUE(MID(E21,2,LEN(E21)-2)),t_task_action_setting任务内容!$B$3:$C$59,2)</f>
        <v>提升队伍等级达到10级</v>
      </c>
    </row>
    <row r="22" spans="2:13" ht="16.5" x14ac:dyDescent="0.15">
      <c r="B22" s="5">
        <v>1020</v>
      </c>
      <c r="C22" s="5" t="s">
        <v>109</v>
      </c>
      <c r="D22" s="4">
        <v>-1</v>
      </c>
      <c r="E22" s="4" t="s">
        <v>129</v>
      </c>
      <c r="F22" s="4" t="s">
        <v>14</v>
      </c>
      <c r="G22" s="4"/>
      <c r="H22" s="5">
        <v>0</v>
      </c>
      <c r="I22" s="4" t="s">
        <v>14</v>
      </c>
      <c r="J22" s="5">
        <v>0</v>
      </c>
      <c r="K22" s="5" t="s">
        <v>183</v>
      </c>
      <c r="M22" s="22" t="str">
        <f>VLOOKUP(VALUE(MID(E22,2,LEN(E22)-2)),t_task_action_setting任务内容!$B$3:$C$59,2)</f>
        <v>提升任意伙伴等级达到20级</v>
      </c>
    </row>
    <row r="23" spans="2:13" ht="16.5" x14ac:dyDescent="0.15">
      <c r="B23" s="5">
        <v>1021</v>
      </c>
      <c r="C23" s="5" t="s">
        <v>109</v>
      </c>
      <c r="D23" s="4">
        <v>-1</v>
      </c>
      <c r="E23" s="4" t="s">
        <v>143</v>
      </c>
      <c r="F23" s="4" t="s">
        <v>14</v>
      </c>
      <c r="G23" s="4"/>
      <c r="H23" s="5">
        <v>0</v>
      </c>
      <c r="I23" s="4" t="s">
        <v>14</v>
      </c>
      <c r="J23" s="5">
        <v>0</v>
      </c>
      <c r="K23" s="5" t="s">
        <v>187</v>
      </c>
      <c r="M23" s="22" t="str">
        <f>VLOOKUP(VALUE(MID(E23,2,LEN(E23)-2)),t_task_action_setting任务内容!$B$3:$C$59,2)</f>
        <v>拥有2星伙伴数量达到5个</v>
      </c>
    </row>
    <row r="24" spans="2:13" ht="16.5" x14ac:dyDescent="0.15">
      <c r="B24" s="5">
        <v>1022</v>
      </c>
      <c r="C24" s="5" t="s">
        <v>109</v>
      </c>
      <c r="D24" s="4">
        <v>-1</v>
      </c>
      <c r="E24" s="4" t="s">
        <v>144</v>
      </c>
      <c r="F24" s="4" t="s">
        <v>14</v>
      </c>
      <c r="G24" s="4"/>
      <c r="H24" s="5">
        <v>0</v>
      </c>
      <c r="I24" s="4" t="s">
        <v>14</v>
      </c>
      <c r="J24" s="5">
        <v>0</v>
      </c>
      <c r="K24" s="5" t="s">
        <v>187</v>
      </c>
      <c r="M24" s="22" t="str">
        <f>VLOOKUP(VALUE(MID(E24,2,LEN(E24)-2)),t_task_action_setting任务内容!$B$3:$C$59,2)</f>
        <v>拥有3星伙伴数量达到5个</v>
      </c>
    </row>
    <row r="25" spans="2:13" ht="16.5" x14ac:dyDescent="0.15">
      <c r="B25" s="5">
        <v>1023</v>
      </c>
      <c r="C25" s="5" t="s">
        <v>109</v>
      </c>
      <c r="D25" s="4">
        <v>-1</v>
      </c>
      <c r="E25" s="4" t="s">
        <v>145</v>
      </c>
      <c r="F25" s="4" t="s">
        <v>14</v>
      </c>
      <c r="G25" s="4"/>
      <c r="H25" s="5">
        <v>0</v>
      </c>
      <c r="I25" s="4" t="s">
        <v>14</v>
      </c>
      <c r="J25" s="5">
        <v>0</v>
      </c>
      <c r="K25" s="5" t="s">
        <v>187</v>
      </c>
      <c r="M25" s="22" t="str">
        <f>VLOOKUP(VALUE(MID(E25,2,LEN(E25)-2)),t_task_action_setting任务内容!$B$3:$C$59,2)</f>
        <v>拥有4星伙伴数量达到5个</v>
      </c>
    </row>
    <row r="26" spans="2:13" ht="16.5" x14ac:dyDescent="0.15">
      <c r="B26" s="5">
        <v>1024</v>
      </c>
      <c r="C26" s="5" t="s">
        <v>109</v>
      </c>
      <c r="D26" s="4">
        <v>-1</v>
      </c>
      <c r="E26" s="4" t="s">
        <v>146</v>
      </c>
      <c r="F26" s="4" t="s">
        <v>14</v>
      </c>
      <c r="G26" s="4"/>
      <c r="H26" s="5">
        <v>0</v>
      </c>
      <c r="I26" s="4" t="s">
        <v>14</v>
      </c>
      <c r="J26" s="5">
        <v>0</v>
      </c>
      <c r="K26" s="5" t="s">
        <v>187</v>
      </c>
      <c r="M26" s="22" t="str">
        <f>VLOOKUP(VALUE(MID(E26,2,LEN(E26)-2)),t_task_action_setting任务内容!$B$3:$C$59,2)</f>
        <v>拥有5星伙伴数量达到5个</v>
      </c>
    </row>
    <row r="27" spans="2:13" ht="16.5" x14ac:dyDescent="0.15">
      <c r="B27" s="5">
        <v>1025</v>
      </c>
      <c r="C27" s="5" t="s">
        <v>109</v>
      </c>
      <c r="D27" s="4">
        <v>-1</v>
      </c>
      <c r="E27" s="4" t="s">
        <v>149</v>
      </c>
      <c r="F27" s="4" t="s">
        <v>14</v>
      </c>
      <c r="G27" s="4"/>
      <c r="H27" s="5">
        <v>0</v>
      </c>
      <c r="I27" s="5">
        <v>0</v>
      </c>
      <c r="J27" s="5">
        <v>0</v>
      </c>
      <c r="K27" s="5" t="s">
        <v>184</v>
      </c>
      <c r="M27" s="22" t="str">
        <f>VLOOKUP(VALUE(MID(E27,2,LEN(E27)-2)),t_task_action_setting任务内容!$B$3:$C$59,2)</f>
        <v>获得道具累积达到5件</v>
      </c>
    </row>
    <row r="28" spans="2:13" ht="16.5" x14ac:dyDescent="0.15">
      <c r="B28" s="5">
        <v>1026</v>
      </c>
      <c r="C28" s="5" t="s">
        <v>109</v>
      </c>
      <c r="D28" s="5">
        <v>1011</v>
      </c>
      <c r="E28" s="4" t="s">
        <v>150</v>
      </c>
      <c r="F28" s="4" t="s">
        <v>14</v>
      </c>
      <c r="G28" s="4"/>
      <c r="H28" s="5">
        <v>0</v>
      </c>
      <c r="I28" s="5">
        <v>1</v>
      </c>
      <c r="J28" s="5">
        <v>0</v>
      </c>
      <c r="K28" s="5" t="s">
        <v>184</v>
      </c>
      <c r="M28" s="22" t="str">
        <f>VLOOKUP(VALUE(MID(E28,2,LEN(E28)-2)),t_task_action_setting任务内容!$B$3:$C$59,2)</f>
        <v>通关第一章第四小关1次</v>
      </c>
    </row>
    <row r="29" spans="2:13" ht="16.5" x14ac:dyDescent="0.15">
      <c r="B29" s="5">
        <v>1027</v>
      </c>
      <c r="C29" s="5" t="s">
        <v>109</v>
      </c>
      <c r="D29" s="5">
        <v>1012</v>
      </c>
      <c r="E29" s="4" t="s">
        <v>151</v>
      </c>
      <c r="F29" s="4" t="s">
        <v>14</v>
      </c>
      <c r="G29" s="4"/>
      <c r="H29" s="5">
        <v>0</v>
      </c>
      <c r="I29" s="5">
        <v>1</v>
      </c>
      <c r="J29" s="5">
        <v>0</v>
      </c>
      <c r="K29" s="5" t="s">
        <v>184</v>
      </c>
      <c r="M29" s="22" t="str">
        <f>VLOOKUP(VALUE(MID(E29,2,LEN(E29)-2)),t_task_action_setting任务内容!$B$3:$C$59,2)</f>
        <v>通关第一章第六大关1次</v>
      </c>
    </row>
    <row r="30" spans="2:13" ht="16.5" x14ac:dyDescent="0.15">
      <c r="B30" s="5">
        <v>1028</v>
      </c>
      <c r="C30" s="5" t="s">
        <v>109</v>
      </c>
      <c r="D30" s="5">
        <v>1013</v>
      </c>
      <c r="E30" s="4" t="s">
        <v>152</v>
      </c>
      <c r="F30" s="4" t="s">
        <v>14</v>
      </c>
      <c r="G30" s="4"/>
      <c r="H30" s="5">
        <v>0</v>
      </c>
      <c r="I30" s="5">
        <v>1</v>
      </c>
      <c r="J30" s="5">
        <v>0</v>
      </c>
      <c r="K30" s="5" t="s">
        <v>184</v>
      </c>
      <c r="M30" s="22" t="str">
        <f>VLOOKUP(VALUE(MID(E30,2,LEN(E30)-2)),t_task_action_setting任务内容!$B$3:$C$59,2)</f>
        <v>第一章获得总计9星</v>
      </c>
    </row>
    <row r="31" spans="2:13" ht="16.5" x14ac:dyDescent="0.15">
      <c r="B31" s="5">
        <v>1029</v>
      </c>
      <c r="C31" s="5" t="s">
        <v>109</v>
      </c>
      <c r="D31" s="5">
        <v>1014</v>
      </c>
      <c r="E31" s="4" t="s">
        <v>153</v>
      </c>
      <c r="F31" s="4" t="s">
        <v>14</v>
      </c>
      <c r="G31" s="4"/>
      <c r="H31" s="5">
        <v>0</v>
      </c>
      <c r="I31" s="5">
        <v>1</v>
      </c>
      <c r="J31" s="5">
        <v>0</v>
      </c>
      <c r="K31" s="5" t="s">
        <v>184</v>
      </c>
      <c r="M31" s="22" t="str">
        <f>VLOOKUP(VALUE(MID(E31,2,LEN(E31)-2)),t_task_action_setting任务内容!$B$3:$C$59,2)</f>
        <v>第二章获得总计3星</v>
      </c>
    </row>
    <row r="32" spans="2:13" ht="16.5" x14ac:dyDescent="0.15">
      <c r="B32" s="5">
        <v>1030</v>
      </c>
      <c r="C32" s="5" t="s">
        <v>109</v>
      </c>
      <c r="D32" s="5">
        <v>1015</v>
      </c>
      <c r="E32" s="4" t="s">
        <v>154</v>
      </c>
      <c r="F32" s="4" t="s">
        <v>14</v>
      </c>
      <c r="G32" s="4"/>
      <c r="H32" s="5">
        <v>0</v>
      </c>
      <c r="I32" s="5">
        <v>1</v>
      </c>
      <c r="J32" s="5">
        <v>0</v>
      </c>
      <c r="K32" s="5" t="s">
        <v>263</v>
      </c>
      <c r="M32" s="22" t="str">
        <f>VLOOKUP(VALUE(MID(E32,2,LEN(E32)-2)),t_task_action_setting任务内容!$B$3:$C$59,2)</f>
        <v>在竞技场累积战斗10次</v>
      </c>
    </row>
    <row r="33" spans="2:13" ht="16.5" x14ac:dyDescent="0.15">
      <c r="B33" s="5">
        <v>1031</v>
      </c>
      <c r="C33" s="5" t="s">
        <v>109</v>
      </c>
      <c r="D33" s="5">
        <v>1016</v>
      </c>
      <c r="E33" s="4" t="s">
        <v>155</v>
      </c>
      <c r="F33" s="4" t="s">
        <v>14</v>
      </c>
      <c r="G33" s="4"/>
      <c r="H33" s="5">
        <v>0</v>
      </c>
      <c r="I33" s="5">
        <v>1</v>
      </c>
      <c r="J33" s="5">
        <v>0</v>
      </c>
      <c r="K33" s="5" t="s">
        <v>263</v>
      </c>
      <c r="M33" s="22" t="str">
        <f>VLOOKUP(VALUE(MID(E33,2,LEN(E33)-2)),t_task_action_setting任务内容!$B$3:$C$59,2)</f>
        <v>在武道大会累积比武10次</v>
      </c>
    </row>
    <row r="34" spans="2:13" ht="16.5" x14ac:dyDescent="0.15">
      <c r="B34" s="5">
        <v>1032</v>
      </c>
      <c r="C34" s="5" t="s">
        <v>109</v>
      </c>
      <c r="D34" s="5">
        <v>1017</v>
      </c>
      <c r="E34" s="4" t="s">
        <v>156</v>
      </c>
      <c r="F34" s="4" t="s">
        <v>14</v>
      </c>
      <c r="G34" s="4"/>
      <c r="H34" s="5">
        <v>0</v>
      </c>
      <c r="I34" s="5">
        <v>1</v>
      </c>
      <c r="J34" s="5">
        <v>0</v>
      </c>
      <c r="K34" s="5" t="s">
        <v>185</v>
      </c>
      <c r="M34" s="22" t="str">
        <f>VLOOKUP(VALUE(MID(E34,2,LEN(E34)-2)),t_task_action_setting任务内容!$B$3:$C$59,2)</f>
        <v>强化任意1件装备达到20级</v>
      </c>
    </row>
    <row r="35" spans="2:13" ht="16.5" x14ac:dyDescent="0.15">
      <c r="B35" s="5">
        <v>1033</v>
      </c>
      <c r="C35" s="5" t="s">
        <v>109</v>
      </c>
      <c r="D35" s="5">
        <v>1018</v>
      </c>
      <c r="E35" s="4" t="s">
        <v>157</v>
      </c>
      <c r="F35" s="4" t="s">
        <v>14</v>
      </c>
      <c r="G35" s="4"/>
      <c r="H35" s="5">
        <v>0</v>
      </c>
      <c r="I35" s="5">
        <v>1</v>
      </c>
      <c r="J35" s="5">
        <v>0</v>
      </c>
      <c r="K35" s="5" t="s">
        <v>185</v>
      </c>
      <c r="M35" s="22" t="str">
        <f>VLOOKUP(VALUE(MID(E35,2,LEN(E35)-2)),t_task_action_setting任务内容!$B$3:$C$59,2)</f>
        <v>强化装备累积达到30次</v>
      </c>
    </row>
    <row r="36" spans="2:13" ht="16.5" x14ac:dyDescent="0.15">
      <c r="B36" s="5">
        <v>1034</v>
      </c>
      <c r="C36" s="5" t="s">
        <v>109</v>
      </c>
      <c r="D36" s="5">
        <v>1019</v>
      </c>
      <c r="E36" s="4" t="s">
        <v>158</v>
      </c>
      <c r="F36" s="4" t="s">
        <v>14</v>
      </c>
      <c r="G36" s="4"/>
      <c r="H36" s="5">
        <v>0</v>
      </c>
      <c r="I36" s="5">
        <v>1</v>
      </c>
      <c r="J36" s="5">
        <v>0</v>
      </c>
      <c r="K36" s="5" t="s">
        <v>184</v>
      </c>
      <c r="M36" s="22" t="str">
        <f>VLOOKUP(VALUE(MID(E36,2,LEN(E36)-2)),t_task_action_setting任务内容!$B$3:$C$59,2)</f>
        <v>提升队伍等级达到22级</v>
      </c>
    </row>
    <row r="37" spans="2:13" ht="16.5" x14ac:dyDescent="0.15">
      <c r="B37" s="5">
        <v>1035</v>
      </c>
      <c r="C37" s="5" t="s">
        <v>109</v>
      </c>
      <c r="D37" s="5">
        <v>1020</v>
      </c>
      <c r="E37" s="4" t="s">
        <v>159</v>
      </c>
      <c r="F37" s="4" t="s">
        <v>14</v>
      </c>
      <c r="G37" s="4"/>
      <c r="H37" s="5">
        <v>0</v>
      </c>
      <c r="I37" s="5">
        <v>1</v>
      </c>
      <c r="J37" s="5">
        <v>0</v>
      </c>
      <c r="K37" s="5" t="s">
        <v>183</v>
      </c>
      <c r="M37" s="22" t="str">
        <f>VLOOKUP(VALUE(MID(E37,2,LEN(E37)-2)),t_task_action_setting任务内容!$B$3:$C$59,2)</f>
        <v>提升任意伙伴等级达到25级</v>
      </c>
    </row>
    <row r="38" spans="2:13" ht="16.5" x14ac:dyDescent="0.15">
      <c r="B38" s="5">
        <v>1036</v>
      </c>
      <c r="C38" s="5" t="s">
        <v>109</v>
      </c>
      <c r="D38" s="5">
        <v>1021</v>
      </c>
      <c r="E38" s="4" t="s">
        <v>160</v>
      </c>
      <c r="F38" s="4" t="s">
        <v>14</v>
      </c>
      <c r="G38" s="4"/>
      <c r="H38" s="5">
        <v>0</v>
      </c>
      <c r="I38" s="5">
        <v>1</v>
      </c>
      <c r="J38" s="5">
        <v>0</v>
      </c>
      <c r="K38" s="5" t="s">
        <v>187</v>
      </c>
      <c r="M38" s="22" t="str">
        <f>VLOOKUP(VALUE(MID(E38,2,LEN(E38)-2)),t_task_action_setting任务内容!$B$3:$C$59,2)</f>
        <v>拥有2星伙伴数量达到10个</v>
      </c>
    </row>
    <row r="39" spans="2:13" ht="16.5" x14ac:dyDescent="0.15">
      <c r="B39" s="5">
        <v>1037</v>
      </c>
      <c r="C39" s="5" t="s">
        <v>109</v>
      </c>
      <c r="D39" s="5">
        <v>1022</v>
      </c>
      <c r="E39" s="4" t="s">
        <v>161</v>
      </c>
      <c r="F39" s="4" t="s">
        <v>14</v>
      </c>
      <c r="G39" s="4"/>
      <c r="H39" s="5">
        <v>0</v>
      </c>
      <c r="I39" s="5">
        <v>1</v>
      </c>
      <c r="J39" s="5">
        <v>0</v>
      </c>
      <c r="K39" s="5" t="s">
        <v>187</v>
      </c>
      <c r="M39" s="22" t="str">
        <f>VLOOKUP(VALUE(MID(E39,2,LEN(E39)-2)),t_task_action_setting任务内容!$B$3:$C$59,2)</f>
        <v>拥有3星伙伴数量达到10个</v>
      </c>
    </row>
    <row r="40" spans="2:13" ht="16.5" x14ac:dyDescent="0.15">
      <c r="B40" s="5">
        <v>1038</v>
      </c>
      <c r="C40" s="5" t="s">
        <v>109</v>
      </c>
      <c r="D40" s="5">
        <v>1023</v>
      </c>
      <c r="E40" s="4" t="s">
        <v>162</v>
      </c>
      <c r="F40" s="4" t="s">
        <v>14</v>
      </c>
      <c r="G40" s="4"/>
      <c r="H40" s="5">
        <v>0</v>
      </c>
      <c r="I40" s="5">
        <v>1</v>
      </c>
      <c r="J40" s="5">
        <v>0</v>
      </c>
      <c r="K40" s="5" t="s">
        <v>187</v>
      </c>
      <c r="M40" s="22" t="str">
        <f>VLOOKUP(VALUE(MID(E40,2,LEN(E40)-2)),t_task_action_setting任务内容!$B$3:$C$59,2)</f>
        <v>拥有4星伙伴数量达到10个</v>
      </c>
    </row>
    <row r="41" spans="2:13" ht="16.5" x14ac:dyDescent="0.15">
      <c r="B41" s="5">
        <v>1039</v>
      </c>
      <c r="C41" s="5" t="s">
        <v>109</v>
      </c>
      <c r="D41" s="5">
        <v>1024</v>
      </c>
      <c r="E41" s="4" t="s">
        <v>163</v>
      </c>
      <c r="F41" s="4" t="s">
        <v>14</v>
      </c>
      <c r="G41" s="4"/>
      <c r="H41" s="5">
        <v>0</v>
      </c>
      <c r="I41" s="5">
        <v>1</v>
      </c>
      <c r="J41" s="5">
        <v>0</v>
      </c>
      <c r="K41" s="5" t="s">
        <v>187</v>
      </c>
      <c r="M41" s="22" t="str">
        <f>VLOOKUP(VALUE(MID(E41,2,LEN(E41)-2)),t_task_action_setting任务内容!$B$3:$C$59,2)</f>
        <v>拥有5星伙伴数量达到10个</v>
      </c>
    </row>
    <row r="42" spans="2:13" ht="16.5" x14ac:dyDescent="0.15">
      <c r="B42" s="5">
        <v>1040</v>
      </c>
      <c r="C42" s="5" t="s">
        <v>109</v>
      </c>
      <c r="D42" s="5">
        <v>1025</v>
      </c>
      <c r="E42" s="4" t="s">
        <v>164</v>
      </c>
      <c r="F42" s="4" t="s">
        <v>14</v>
      </c>
      <c r="G42" s="4"/>
      <c r="H42" s="5">
        <v>0</v>
      </c>
      <c r="I42" s="5">
        <v>1</v>
      </c>
      <c r="J42" s="5">
        <v>0</v>
      </c>
      <c r="K42" s="5" t="s">
        <v>184</v>
      </c>
      <c r="M42" s="22" t="str">
        <f>VLOOKUP(VALUE(MID(E42,2,LEN(E42)-2)),t_task_action_setting任务内容!$B$3:$C$59,2)</f>
        <v>获得道具累积达到10件</v>
      </c>
    </row>
    <row r="43" spans="2:13" ht="16.5" x14ac:dyDescent="0.15">
      <c r="B43" s="5">
        <v>1041</v>
      </c>
      <c r="C43" s="4" t="s">
        <v>108</v>
      </c>
      <c r="D43" s="4">
        <v>-1</v>
      </c>
      <c r="E43" s="4" t="s">
        <v>308</v>
      </c>
      <c r="F43" s="21" t="s">
        <v>324</v>
      </c>
      <c r="G43" s="21" t="s">
        <v>354</v>
      </c>
      <c r="H43" s="20">
        <v>0</v>
      </c>
      <c r="I43" s="20">
        <v>0</v>
      </c>
      <c r="J43" s="20">
        <v>0</v>
      </c>
      <c r="K43" s="20"/>
      <c r="M43" s="22" t="str">
        <f>VLOOKUP(VALUE(MID(E43,2,LEN(E43)-2)),t_task_action_setting任务内容!$B$3:$C$59,2)</f>
        <v>vip1特权:领取扫荡券</v>
      </c>
    </row>
    <row r="44" spans="2:13" ht="16.5" x14ac:dyDescent="0.15">
      <c r="B44" s="5">
        <v>1042</v>
      </c>
      <c r="C44" s="4" t="s">
        <v>108</v>
      </c>
      <c r="D44" s="4">
        <v>-1</v>
      </c>
      <c r="E44" s="4" t="s">
        <v>309</v>
      </c>
      <c r="F44" s="21" t="s">
        <v>324</v>
      </c>
      <c r="G44" s="21" t="s">
        <v>325</v>
      </c>
      <c r="H44" s="20">
        <v>0</v>
      </c>
      <c r="I44" s="20">
        <v>0</v>
      </c>
      <c r="J44" s="20">
        <v>0</v>
      </c>
      <c r="K44" s="20"/>
      <c r="M44" s="22" t="str">
        <f>VLOOKUP(VALUE(MID(E44,2,LEN(E44)-2)),t_task_action_setting任务内容!$B$3:$C$59,2)</f>
        <v>vip2特权:领取扫荡券</v>
      </c>
    </row>
    <row r="45" spans="2:13" ht="16.5" x14ac:dyDescent="0.15">
      <c r="B45" s="5">
        <v>1043</v>
      </c>
      <c r="C45" s="4" t="s">
        <v>108</v>
      </c>
      <c r="D45" s="4">
        <v>-1</v>
      </c>
      <c r="E45" s="4" t="s">
        <v>310</v>
      </c>
      <c r="F45" s="21" t="s">
        <v>323</v>
      </c>
      <c r="G45" s="21" t="s">
        <v>326</v>
      </c>
      <c r="H45" s="20">
        <v>0</v>
      </c>
      <c r="I45" s="20">
        <v>0</v>
      </c>
      <c r="J45" s="20">
        <v>0</v>
      </c>
      <c r="K45" s="20"/>
      <c r="M45" s="22" t="str">
        <f>VLOOKUP(VALUE(MID(E45,2,LEN(E45)-2)),t_task_action_setting任务内容!$B$3:$C$59,2)</f>
        <v>vip3特权:领取扫荡券</v>
      </c>
    </row>
    <row r="46" spans="2:13" ht="16.5" x14ac:dyDescent="0.15">
      <c r="B46" s="5">
        <v>1044</v>
      </c>
      <c r="C46" s="4" t="s">
        <v>108</v>
      </c>
      <c r="D46" s="4">
        <v>-1</v>
      </c>
      <c r="E46" s="4" t="s">
        <v>311</v>
      </c>
      <c r="F46" s="21" t="s">
        <v>323</v>
      </c>
      <c r="G46" s="21" t="s">
        <v>327</v>
      </c>
      <c r="H46" s="20">
        <v>0</v>
      </c>
      <c r="I46" s="20">
        <v>0</v>
      </c>
      <c r="J46" s="20">
        <v>0</v>
      </c>
      <c r="K46" s="20"/>
      <c r="M46" s="22" t="str">
        <f>VLOOKUP(VALUE(MID(E46,2,LEN(E46)-2)),t_task_action_setting任务内容!$B$3:$C$59,2)</f>
        <v>vip4特权:领取扫荡券</v>
      </c>
    </row>
    <row r="47" spans="2:13" ht="16.5" x14ac:dyDescent="0.15">
      <c r="B47" s="5">
        <v>1045</v>
      </c>
      <c r="C47" s="4" t="s">
        <v>108</v>
      </c>
      <c r="D47" s="4">
        <v>-1</v>
      </c>
      <c r="E47" s="4" t="s">
        <v>312</v>
      </c>
      <c r="F47" s="21" t="s">
        <v>323</v>
      </c>
      <c r="G47" s="21" t="s">
        <v>328</v>
      </c>
      <c r="H47" s="20">
        <v>0</v>
      </c>
      <c r="I47" s="20">
        <v>0</v>
      </c>
      <c r="J47" s="20">
        <v>0</v>
      </c>
      <c r="K47" s="20"/>
      <c r="M47" s="22" t="str">
        <f>VLOOKUP(VALUE(MID(E47,2,LEN(E47)-2)),t_task_action_setting任务内容!$B$3:$C$59,2)</f>
        <v>vip5特权:领取扫荡券</v>
      </c>
    </row>
    <row r="48" spans="2:13" ht="16.5" x14ac:dyDescent="0.15">
      <c r="B48" s="5">
        <v>1046</v>
      </c>
      <c r="C48" s="4" t="s">
        <v>108</v>
      </c>
      <c r="D48" s="4">
        <v>-1</v>
      </c>
      <c r="E48" s="4" t="s">
        <v>313</v>
      </c>
      <c r="F48" s="21" t="s">
        <v>323</v>
      </c>
      <c r="G48" s="21" t="s">
        <v>329</v>
      </c>
      <c r="H48" s="20">
        <v>0</v>
      </c>
      <c r="I48" s="20">
        <v>0</v>
      </c>
      <c r="J48" s="20">
        <v>0</v>
      </c>
      <c r="K48" s="20"/>
      <c r="M48" s="22" t="str">
        <f>VLOOKUP(VALUE(MID(E48,2,LEN(E48)-2)),t_task_action_setting任务内容!$B$3:$C$59,2)</f>
        <v>vip6特权:领取扫荡券</v>
      </c>
    </row>
    <row r="49" spans="2:13" ht="16.5" x14ac:dyDescent="0.15">
      <c r="B49" s="5">
        <v>1047</v>
      </c>
      <c r="C49" s="4" t="s">
        <v>108</v>
      </c>
      <c r="D49" s="4">
        <v>-1</v>
      </c>
      <c r="E49" s="4" t="s">
        <v>314</v>
      </c>
      <c r="F49" s="21" t="s">
        <v>323</v>
      </c>
      <c r="G49" s="21" t="s">
        <v>330</v>
      </c>
      <c r="H49" s="20">
        <v>0</v>
      </c>
      <c r="I49" s="20">
        <v>0</v>
      </c>
      <c r="J49" s="20">
        <v>0</v>
      </c>
      <c r="K49" s="20"/>
      <c r="M49" s="22" t="str">
        <f>VLOOKUP(VALUE(MID(E49,2,LEN(E49)-2)),t_task_action_setting任务内容!$B$3:$C$59,2)</f>
        <v>vip7特权:领取扫荡券</v>
      </c>
    </row>
    <row r="50" spans="2:13" ht="16.5" x14ac:dyDescent="0.15">
      <c r="B50" s="5">
        <v>1048</v>
      </c>
      <c r="C50" s="4" t="s">
        <v>108</v>
      </c>
      <c r="D50" s="4">
        <v>-1</v>
      </c>
      <c r="E50" s="4" t="s">
        <v>315</v>
      </c>
      <c r="F50" s="21" t="s">
        <v>323</v>
      </c>
      <c r="G50" s="21" t="s">
        <v>331</v>
      </c>
      <c r="H50" s="20">
        <v>0</v>
      </c>
      <c r="I50" s="20">
        <v>0</v>
      </c>
      <c r="J50" s="20">
        <v>0</v>
      </c>
      <c r="K50" s="20"/>
      <c r="M50" s="22" t="str">
        <f>VLOOKUP(VALUE(MID(E50,2,LEN(E50)-2)),t_task_action_setting任务内容!$B$3:$C$59,2)</f>
        <v>vip8特权:领取扫荡券</v>
      </c>
    </row>
    <row r="51" spans="2:13" ht="16.5" x14ac:dyDescent="0.15">
      <c r="B51" s="5">
        <v>1049</v>
      </c>
      <c r="C51" s="4" t="s">
        <v>108</v>
      </c>
      <c r="D51" s="4">
        <v>-1</v>
      </c>
      <c r="E51" s="4" t="s">
        <v>316</v>
      </c>
      <c r="F51" s="21" t="s">
        <v>323</v>
      </c>
      <c r="G51" s="21" t="s">
        <v>332</v>
      </c>
      <c r="H51" s="20">
        <v>0</v>
      </c>
      <c r="I51" s="20">
        <v>0</v>
      </c>
      <c r="J51" s="20">
        <v>0</v>
      </c>
      <c r="K51" s="20"/>
      <c r="M51" s="22" t="str">
        <f>VLOOKUP(VALUE(MID(E51,2,LEN(E51)-2)),t_task_action_setting任务内容!$B$3:$C$59,2)</f>
        <v>vip9特权:领取扫荡券</v>
      </c>
    </row>
    <row r="52" spans="2:13" ht="16.5" x14ac:dyDescent="0.15">
      <c r="B52" s="5">
        <v>1050</v>
      </c>
      <c r="C52" s="4" t="s">
        <v>108</v>
      </c>
      <c r="D52" s="4">
        <v>-1</v>
      </c>
      <c r="E52" s="4" t="s">
        <v>317</v>
      </c>
      <c r="F52" s="21" t="s">
        <v>323</v>
      </c>
      <c r="G52" s="21" t="s">
        <v>333</v>
      </c>
      <c r="H52" s="20">
        <v>0</v>
      </c>
      <c r="I52" s="20">
        <v>0</v>
      </c>
      <c r="J52" s="20">
        <v>0</v>
      </c>
      <c r="K52" s="20"/>
      <c r="M52" s="22" t="str">
        <f>VLOOKUP(VALUE(MID(E52,2,LEN(E52)-2)),t_task_action_setting任务内容!$B$3:$C$59,2)</f>
        <v>vip10特权:领取扫荡券</v>
      </c>
    </row>
    <row r="53" spans="2:13" ht="16.5" x14ac:dyDescent="0.15">
      <c r="B53" s="5">
        <v>1051</v>
      </c>
      <c r="C53" s="4" t="s">
        <v>108</v>
      </c>
      <c r="D53" s="4">
        <v>-1</v>
      </c>
      <c r="E53" s="4" t="s">
        <v>318</v>
      </c>
      <c r="F53" s="21" t="s">
        <v>323</v>
      </c>
      <c r="G53" s="21" t="s">
        <v>334</v>
      </c>
      <c r="H53" s="20">
        <v>0</v>
      </c>
      <c r="I53" s="20">
        <v>0</v>
      </c>
      <c r="J53" s="20">
        <v>0</v>
      </c>
      <c r="K53" s="20"/>
      <c r="M53" s="22" t="str">
        <f>VLOOKUP(VALUE(MID(E53,2,LEN(E53)-2)),t_task_action_setting任务内容!$B$3:$C$59,2)</f>
        <v>vip11特权:领取扫荡券</v>
      </c>
    </row>
    <row r="54" spans="2:13" ht="16.5" x14ac:dyDescent="0.15">
      <c r="B54" s="5">
        <v>1052</v>
      </c>
      <c r="C54" s="4" t="s">
        <v>108</v>
      </c>
      <c r="D54" s="4">
        <v>-1</v>
      </c>
      <c r="E54" s="4" t="s">
        <v>319</v>
      </c>
      <c r="F54" s="21" t="s">
        <v>323</v>
      </c>
      <c r="G54" s="21" t="s">
        <v>335</v>
      </c>
      <c r="H54" s="20">
        <v>0</v>
      </c>
      <c r="I54" s="20">
        <v>0</v>
      </c>
      <c r="J54" s="20">
        <v>0</v>
      </c>
      <c r="K54" s="20"/>
      <c r="M54" s="22" t="str">
        <f>VLOOKUP(VALUE(MID(E54,2,LEN(E54)-2)),t_task_action_setting任务内容!$B$3:$C$59,2)</f>
        <v>vip12特权:领取扫荡券</v>
      </c>
    </row>
    <row r="55" spans="2:13" ht="16.5" x14ac:dyDescent="0.15">
      <c r="B55" s="5">
        <v>1053</v>
      </c>
      <c r="C55" s="4" t="s">
        <v>108</v>
      </c>
      <c r="D55" s="4">
        <v>-1</v>
      </c>
      <c r="E55" s="4" t="s">
        <v>320</v>
      </c>
      <c r="F55" s="21" t="s">
        <v>323</v>
      </c>
      <c r="G55" s="21" t="s">
        <v>336</v>
      </c>
      <c r="H55" s="20">
        <v>0</v>
      </c>
      <c r="I55" s="20">
        <v>0</v>
      </c>
      <c r="J55" s="20">
        <v>0</v>
      </c>
      <c r="K55" s="20"/>
      <c r="M55" s="22" t="str">
        <f>VLOOKUP(VALUE(MID(E55,2,LEN(E55)-2)),t_task_action_setting任务内容!$B$3:$C$59,2)</f>
        <v>vip13特权:领取扫荡券</v>
      </c>
    </row>
    <row r="56" spans="2:13" ht="16.5" x14ac:dyDescent="0.15">
      <c r="B56" s="5">
        <v>1054</v>
      </c>
      <c r="C56" s="4" t="s">
        <v>108</v>
      </c>
      <c r="D56" s="4">
        <v>-1</v>
      </c>
      <c r="E56" s="4" t="s">
        <v>321</v>
      </c>
      <c r="F56" s="21" t="s">
        <v>323</v>
      </c>
      <c r="G56" s="21" t="s">
        <v>337</v>
      </c>
      <c r="H56" s="20">
        <v>0</v>
      </c>
      <c r="I56" s="20">
        <v>0</v>
      </c>
      <c r="J56" s="20">
        <v>0</v>
      </c>
      <c r="K56" s="20"/>
      <c r="M56" s="22" t="str">
        <f>VLOOKUP(VALUE(MID(E56,2,LEN(E56)-2)),t_task_action_setting任务内容!$B$3:$C$59,2)</f>
        <v>vip14特权:领取扫荡券</v>
      </c>
    </row>
    <row r="57" spans="2:13" ht="16.5" x14ac:dyDescent="0.15">
      <c r="B57" s="5">
        <v>1055</v>
      </c>
      <c r="C57" s="4" t="s">
        <v>108</v>
      </c>
      <c r="D57" s="4">
        <v>-1</v>
      </c>
      <c r="E57" s="4" t="s">
        <v>322</v>
      </c>
      <c r="F57" s="21" t="s">
        <v>323</v>
      </c>
      <c r="G57" s="21" t="s">
        <v>338</v>
      </c>
      <c r="H57" s="20">
        <v>0</v>
      </c>
      <c r="I57" s="20">
        <v>0</v>
      </c>
      <c r="J57" s="20">
        <v>0</v>
      </c>
      <c r="K57" s="20"/>
      <c r="M57" s="22" t="str">
        <f>VLOOKUP(VALUE(MID(E57,2,LEN(E57)-2)),t_task_action_setting任务内容!$B$3:$C$59,2)</f>
        <v>vip15特权:领取扫荡券</v>
      </c>
    </row>
    <row r="58" spans="2:13" ht="16.5" x14ac:dyDescent="0.15">
      <c r="B58" s="5">
        <v>1056</v>
      </c>
      <c r="C58" s="4" t="s">
        <v>108</v>
      </c>
      <c r="D58" s="4">
        <v>-1</v>
      </c>
      <c r="E58" s="4" t="s">
        <v>355</v>
      </c>
      <c r="F58" s="21" t="s">
        <v>359</v>
      </c>
      <c r="G58" s="21"/>
      <c r="H58" s="20">
        <v>0</v>
      </c>
      <c r="I58" s="20">
        <v>0</v>
      </c>
      <c r="J58" s="20">
        <v>0</v>
      </c>
      <c r="K58" s="20" t="s">
        <v>377</v>
      </c>
      <c r="M58" s="22" t="str">
        <f>VLOOKUP(VALUE(MID(E58,2,LEN(E58)-2)),t_task_action_setting任务内容!$B$3:$C$59,2)</f>
        <v>购买月卡，每天领取大量钻石</v>
      </c>
    </row>
    <row r="59" spans="2:13" ht="16.5" x14ac:dyDescent="0.15">
      <c r="B59" s="5">
        <v>1057</v>
      </c>
      <c r="C59" s="4" t="s">
        <v>108</v>
      </c>
      <c r="D59" s="4">
        <v>-1</v>
      </c>
      <c r="E59" s="4" t="s">
        <v>385</v>
      </c>
      <c r="F59" s="21" t="s">
        <v>391</v>
      </c>
      <c r="G59" s="21"/>
      <c r="H59" s="20">
        <v>0</v>
      </c>
      <c r="I59" s="20">
        <v>0</v>
      </c>
      <c r="J59" s="20">
        <v>0</v>
      </c>
      <c r="K59" s="20" t="s">
        <v>377</v>
      </c>
    </row>
  </sheetData>
  <phoneticPr fontId="1" type="noConversion"/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9" r:id="rId4" name="Button 7">
              <controlPr defaultSize="0" print="0" autoFill="0" autoPict="0" macro="[0]!t_task_setting.t_task_setting">
                <anchor moveWithCells="1">
                  <from>
                    <xdr:col>0</xdr:col>
                    <xdr:colOff>38100</xdr:colOff>
                    <xdr:row>0</xdr:row>
                    <xdr:rowOff>142875</xdr:rowOff>
                  </from>
                  <to>
                    <xdr:col>0</xdr:col>
                    <xdr:colOff>1276350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59"/>
  <sheetViews>
    <sheetView zoomScaleNormal="100" workbookViewId="0">
      <selection activeCell="F13" sqref="F13"/>
    </sheetView>
  </sheetViews>
  <sheetFormatPr defaultColWidth="9" defaultRowHeight="14.25" x14ac:dyDescent="0.15"/>
  <cols>
    <col min="1" max="1" width="15.625" style="10" customWidth="1"/>
    <col min="2" max="2" width="14.25" style="10" customWidth="1"/>
    <col min="3" max="3" width="22.625" style="10" customWidth="1"/>
    <col min="4" max="4" width="10.25" style="10" customWidth="1"/>
    <col min="5" max="5" width="13.75" style="10" customWidth="1"/>
    <col min="6" max="6" width="15.75" style="10" customWidth="1"/>
    <col min="7" max="7" width="23.625" style="10" customWidth="1"/>
    <col min="8" max="8" width="25.25" style="10" customWidth="1"/>
    <col min="9" max="9" width="14.75" style="10" customWidth="1"/>
    <col min="10" max="10" width="25.5" style="10" customWidth="1"/>
    <col min="11" max="11" width="24.375" style="10" customWidth="1"/>
    <col min="12" max="16384" width="9" style="10"/>
  </cols>
  <sheetData>
    <row r="1" spans="1:11" ht="16.5" x14ac:dyDescent="0.15">
      <c r="A1" s="12"/>
      <c r="B1" s="13" t="s">
        <v>23</v>
      </c>
      <c r="C1" s="13" t="s">
        <v>24</v>
      </c>
      <c r="D1" s="13" t="s">
        <v>25</v>
      </c>
      <c r="E1" s="13" t="s">
        <v>264</v>
      </c>
      <c r="F1" s="13" t="s">
        <v>26</v>
      </c>
      <c r="G1" s="13" t="s">
        <v>27</v>
      </c>
      <c r="H1" s="13" t="s">
        <v>28</v>
      </c>
      <c r="I1" s="13" t="s">
        <v>29</v>
      </c>
      <c r="J1" s="13" t="s">
        <v>30</v>
      </c>
      <c r="K1" s="13" t="s">
        <v>31</v>
      </c>
    </row>
    <row r="2" spans="1:11" ht="16.5" x14ac:dyDescent="0.35">
      <c r="A2" s="14"/>
      <c r="B2" s="13" t="s">
        <v>0</v>
      </c>
      <c r="C2" s="13" t="s">
        <v>15</v>
      </c>
      <c r="D2" s="13" t="s">
        <v>16</v>
      </c>
      <c r="E2" s="18" t="s">
        <v>265</v>
      </c>
      <c r="F2" s="13" t="s">
        <v>17</v>
      </c>
      <c r="G2" s="13" t="s">
        <v>18</v>
      </c>
      <c r="H2" s="13" t="s">
        <v>19</v>
      </c>
      <c r="I2" s="13" t="s">
        <v>20</v>
      </c>
      <c r="J2" s="13" t="s">
        <v>21</v>
      </c>
      <c r="K2" s="13" t="s">
        <v>22</v>
      </c>
    </row>
    <row r="3" spans="1:11" ht="16.5" x14ac:dyDescent="0.15">
      <c r="A3" s="12"/>
      <c r="B3" s="11">
        <v>1</v>
      </c>
      <c r="C3" s="11" t="s">
        <v>246</v>
      </c>
      <c r="D3" s="11">
        <v>5</v>
      </c>
      <c r="E3" s="17" t="s">
        <v>266</v>
      </c>
      <c r="F3" s="11" t="s">
        <v>32</v>
      </c>
      <c r="G3" s="11"/>
      <c r="H3" s="11"/>
      <c r="I3" s="11" t="s">
        <v>33</v>
      </c>
      <c r="J3" s="11" t="s">
        <v>280</v>
      </c>
      <c r="K3" s="11">
        <v>1</v>
      </c>
    </row>
    <row r="4" spans="1:11" ht="16.5" x14ac:dyDescent="0.15">
      <c r="A4" s="12"/>
      <c r="B4" s="11">
        <v>2</v>
      </c>
      <c r="C4" s="11" t="s">
        <v>290</v>
      </c>
      <c r="D4" s="11">
        <v>10</v>
      </c>
      <c r="E4" s="17" t="s">
        <v>275</v>
      </c>
      <c r="F4" s="11" t="s">
        <v>282</v>
      </c>
      <c r="G4" s="11"/>
      <c r="H4" s="11"/>
      <c r="I4" s="11" t="s">
        <v>33</v>
      </c>
      <c r="J4" s="11" t="s">
        <v>280</v>
      </c>
      <c r="K4" s="11">
        <v>1</v>
      </c>
    </row>
    <row r="5" spans="1:11" ht="16.5" x14ac:dyDescent="0.15">
      <c r="A5" s="12"/>
      <c r="B5" s="11">
        <v>3</v>
      </c>
      <c r="C5" s="11" t="s">
        <v>245</v>
      </c>
      <c r="D5" s="11">
        <v>3</v>
      </c>
      <c r="E5" s="17" t="s">
        <v>267</v>
      </c>
      <c r="F5" s="11" t="s">
        <v>208</v>
      </c>
      <c r="G5" s="11"/>
      <c r="H5" s="11"/>
      <c r="I5" s="11" t="s">
        <v>33</v>
      </c>
      <c r="J5" s="11"/>
      <c r="K5" s="11">
        <v>1</v>
      </c>
    </row>
    <row r="6" spans="1:11" ht="33" x14ac:dyDescent="0.15">
      <c r="A6" s="12"/>
      <c r="B6" s="11">
        <v>4</v>
      </c>
      <c r="C6" s="11" t="s">
        <v>244</v>
      </c>
      <c r="D6" s="11">
        <v>1</v>
      </c>
      <c r="E6" s="17" t="s">
        <v>268</v>
      </c>
      <c r="F6" s="11" t="s">
        <v>304</v>
      </c>
      <c r="G6" s="11"/>
      <c r="H6" s="11"/>
      <c r="I6" s="11" t="s">
        <v>33</v>
      </c>
      <c r="J6" s="11"/>
      <c r="K6" s="11">
        <v>1</v>
      </c>
    </row>
    <row r="7" spans="1:11" ht="16.5" x14ac:dyDescent="0.15">
      <c r="A7" s="12"/>
      <c r="B7" s="11">
        <v>5</v>
      </c>
      <c r="C7" s="11" t="s">
        <v>243</v>
      </c>
      <c r="D7" s="11">
        <v>5</v>
      </c>
      <c r="E7" s="17" t="s">
        <v>291</v>
      </c>
      <c r="F7" s="11" t="s">
        <v>293</v>
      </c>
      <c r="G7" s="11"/>
      <c r="H7" s="11"/>
      <c r="I7" s="11" t="s">
        <v>33</v>
      </c>
      <c r="J7" s="11" t="s">
        <v>280</v>
      </c>
      <c r="K7" s="11">
        <v>1</v>
      </c>
    </row>
    <row r="8" spans="1:11" ht="16.5" x14ac:dyDescent="0.15">
      <c r="A8" s="12"/>
      <c r="B8" s="11">
        <v>6</v>
      </c>
      <c r="C8" s="11" t="s">
        <v>242</v>
      </c>
      <c r="D8" s="11">
        <v>3</v>
      </c>
      <c r="E8" s="17" t="s">
        <v>270</v>
      </c>
      <c r="F8" s="11" t="s">
        <v>240</v>
      </c>
      <c r="G8" s="11" t="s">
        <v>302</v>
      </c>
      <c r="H8" s="11"/>
      <c r="I8" s="11" t="s">
        <v>33</v>
      </c>
      <c r="J8" s="11" t="s">
        <v>280</v>
      </c>
      <c r="K8" s="11">
        <v>1</v>
      </c>
    </row>
    <row r="9" spans="1:11" ht="16.5" x14ac:dyDescent="0.15">
      <c r="A9" s="12"/>
      <c r="B9" s="11">
        <v>7</v>
      </c>
      <c r="C9" s="11" t="s">
        <v>241</v>
      </c>
      <c r="D9" s="11">
        <v>1</v>
      </c>
      <c r="E9" s="17" t="s">
        <v>271</v>
      </c>
      <c r="F9" s="11" t="s">
        <v>240</v>
      </c>
      <c r="G9" s="11" t="s">
        <v>303</v>
      </c>
      <c r="H9" s="11"/>
      <c r="I9" s="11" t="s">
        <v>33</v>
      </c>
      <c r="J9" s="11" t="s">
        <v>34</v>
      </c>
      <c r="K9" s="11">
        <v>1</v>
      </c>
    </row>
    <row r="10" spans="1:11" ht="16.5" x14ac:dyDescent="0.15">
      <c r="A10" s="12"/>
      <c r="B10" s="11">
        <v>8</v>
      </c>
      <c r="C10" s="11" t="s">
        <v>239</v>
      </c>
      <c r="D10" s="11">
        <v>1</v>
      </c>
      <c r="E10" s="17" t="s">
        <v>272</v>
      </c>
      <c r="F10" s="11" t="s">
        <v>201</v>
      </c>
      <c r="G10" s="11"/>
      <c r="H10" s="11"/>
      <c r="I10" s="11" t="s">
        <v>33</v>
      </c>
      <c r="J10" s="11"/>
      <c r="K10" s="11">
        <v>1</v>
      </c>
    </row>
    <row r="11" spans="1:11" ht="16.5" x14ac:dyDescent="0.15">
      <c r="A11" s="12"/>
      <c r="B11" s="11">
        <v>9</v>
      </c>
      <c r="C11" s="11" t="s">
        <v>238</v>
      </c>
      <c r="D11" s="11">
        <v>3</v>
      </c>
      <c r="E11" s="17" t="s">
        <v>273</v>
      </c>
      <c r="F11" s="11" t="s">
        <v>192</v>
      </c>
      <c r="G11" s="11"/>
      <c r="H11" s="11"/>
      <c r="I11" s="11" t="s">
        <v>33</v>
      </c>
      <c r="J11" s="11"/>
      <c r="K11" s="11">
        <v>1</v>
      </c>
    </row>
    <row r="12" spans="1:11" ht="16.5" x14ac:dyDescent="0.15">
      <c r="A12" s="12"/>
      <c r="B12" s="11">
        <v>10</v>
      </c>
      <c r="C12" s="11" t="s">
        <v>237</v>
      </c>
      <c r="D12" s="11">
        <v>5</v>
      </c>
      <c r="E12" s="17" t="s">
        <v>274</v>
      </c>
      <c r="F12" s="11" t="s">
        <v>299</v>
      </c>
      <c r="G12" s="11"/>
      <c r="H12" s="11"/>
      <c r="I12" s="11" t="s">
        <v>33</v>
      </c>
      <c r="J12" s="11" t="s">
        <v>301</v>
      </c>
      <c r="K12" s="11">
        <v>1</v>
      </c>
    </row>
    <row r="13" spans="1:11" ht="16.5" x14ac:dyDescent="0.15">
      <c r="A13" s="12"/>
      <c r="B13" s="11">
        <v>11</v>
      </c>
      <c r="C13" s="11" t="s">
        <v>236</v>
      </c>
      <c r="D13" s="11">
        <v>1</v>
      </c>
      <c r="E13" s="17" t="s">
        <v>275</v>
      </c>
      <c r="F13" s="11" t="s">
        <v>212</v>
      </c>
      <c r="G13" s="11" t="s">
        <v>235</v>
      </c>
      <c r="H13" s="11"/>
      <c r="I13" s="11" t="s">
        <v>33</v>
      </c>
      <c r="J13" s="11"/>
      <c r="K13" s="11">
        <v>1</v>
      </c>
    </row>
    <row r="14" spans="1:11" ht="16.5" x14ac:dyDescent="0.15">
      <c r="A14" s="12"/>
      <c r="B14" s="11">
        <v>12</v>
      </c>
      <c r="C14" s="11" t="s">
        <v>234</v>
      </c>
      <c r="D14" s="11">
        <v>1</v>
      </c>
      <c r="E14" s="17" t="s">
        <v>275</v>
      </c>
      <c r="F14" s="11" t="s">
        <v>212</v>
      </c>
      <c r="G14" s="11" t="s">
        <v>233</v>
      </c>
      <c r="H14" s="11"/>
      <c r="I14" s="11" t="s">
        <v>33</v>
      </c>
      <c r="J14" s="11"/>
      <c r="K14" s="11">
        <v>1</v>
      </c>
    </row>
    <row r="15" spans="1:11" ht="16.5" x14ac:dyDescent="0.15">
      <c r="A15" s="12"/>
      <c r="B15" s="11">
        <v>13</v>
      </c>
      <c r="C15" s="11" t="s">
        <v>232</v>
      </c>
      <c r="D15" s="11">
        <v>3</v>
      </c>
      <c r="E15" s="17" t="s">
        <v>275</v>
      </c>
      <c r="F15" s="11" t="s">
        <v>212</v>
      </c>
      <c r="G15" s="11"/>
      <c r="H15" s="11" t="s">
        <v>211</v>
      </c>
      <c r="I15" s="11" t="s">
        <v>214</v>
      </c>
      <c r="J15" s="11"/>
      <c r="K15" s="11">
        <v>1</v>
      </c>
    </row>
    <row r="16" spans="1:11" ht="16.5" x14ac:dyDescent="0.15">
      <c r="A16" s="12"/>
      <c r="B16" s="11">
        <v>14</v>
      </c>
      <c r="C16" s="11" t="s">
        <v>231</v>
      </c>
      <c r="D16" s="11">
        <v>6</v>
      </c>
      <c r="E16" s="17" t="s">
        <v>275</v>
      </c>
      <c r="F16" s="11" t="s">
        <v>212</v>
      </c>
      <c r="G16" s="11"/>
      <c r="H16" s="11" t="s">
        <v>211</v>
      </c>
      <c r="I16" s="11" t="s">
        <v>214</v>
      </c>
      <c r="J16" s="11"/>
      <c r="K16" s="11">
        <v>1</v>
      </c>
    </row>
    <row r="17" spans="1:11" s="15" customFormat="1" ht="16.5" x14ac:dyDescent="0.15">
      <c r="A17" s="12"/>
      <c r="B17" s="11">
        <v>15</v>
      </c>
      <c r="C17" s="11" t="s">
        <v>230</v>
      </c>
      <c r="D17" s="11">
        <v>5</v>
      </c>
      <c r="E17" s="17" t="s">
        <v>267</v>
      </c>
      <c r="F17" s="11" t="s">
        <v>208</v>
      </c>
      <c r="G17" s="11"/>
      <c r="H17" s="11" t="s">
        <v>175</v>
      </c>
      <c r="I17" s="11" t="s">
        <v>33</v>
      </c>
      <c r="J17" s="11"/>
      <c r="K17" s="11">
        <v>1</v>
      </c>
    </row>
    <row r="18" spans="1:11" s="15" customFormat="1" ht="33" x14ac:dyDescent="0.15">
      <c r="A18" s="12"/>
      <c r="B18" s="11">
        <v>16</v>
      </c>
      <c r="C18" s="11" t="s">
        <v>229</v>
      </c>
      <c r="D18" s="11">
        <v>5</v>
      </c>
      <c r="E18" s="17" t="s">
        <v>276</v>
      </c>
      <c r="F18" s="11" t="s">
        <v>206</v>
      </c>
      <c r="G18" s="11"/>
      <c r="H18" s="11" t="s">
        <v>177</v>
      </c>
      <c r="I18" s="11" t="s">
        <v>33</v>
      </c>
      <c r="J18" s="11"/>
      <c r="K18" s="11">
        <v>1</v>
      </c>
    </row>
    <row r="19" spans="1:11" s="15" customFormat="1" ht="16.5" x14ac:dyDescent="0.15">
      <c r="A19" s="12"/>
      <c r="B19" s="11">
        <v>17</v>
      </c>
      <c r="C19" s="11" t="s">
        <v>228</v>
      </c>
      <c r="D19" s="11">
        <v>1</v>
      </c>
      <c r="E19" s="17" t="s">
        <v>277</v>
      </c>
      <c r="F19" s="11" t="s">
        <v>203</v>
      </c>
      <c r="G19" s="11" t="s">
        <v>298</v>
      </c>
      <c r="H19" s="11"/>
      <c r="I19" s="11" t="s">
        <v>33</v>
      </c>
      <c r="J19" s="11"/>
      <c r="K19" s="11">
        <v>1</v>
      </c>
    </row>
    <row r="20" spans="1:11" s="15" customFormat="1" ht="16.5" x14ac:dyDescent="0.15">
      <c r="A20" s="12"/>
      <c r="B20" s="11">
        <v>18</v>
      </c>
      <c r="C20" s="11" t="s">
        <v>227</v>
      </c>
      <c r="D20" s="11">
        <v>20</v>
      </c>
      <c r="E20" s="17" t="s">
        <v>269</v>
      </c>
      <c r="F20" s="11" t="s">
        <v>203</v>
      </c>
      <c r="G20" s="11"/>
      <c r="H20" s="11" t="s">
        <v>281</v>
      </c>
      <c r="I20" s="11" t="s">
        <v>33</v>
      </c>
      <c r="J20" s="11"/>
      <c r="K20" s="11">
        <v>1</v>
      </c>
    </row>
    <row r="21" spans="1:11" s="15" customFormat="1" ht="16.5" x14ac:dyDescent="0.15">
      <c r="A21" s="12"/>
      <c r="B21" s="11">
        <v>19</v>
      </c>
      <c r="C21" s="11" t="s">
        <v>226</v>
      </c>
      <c r="D21" s="11">
        <v>10</v>
      </c>
      <c r="E21" s="17" t="s">
        <v>272</v>
      </c>
      <c r="F21" s="11" t="s">
        <v>201</v>
      </c>
      <c r="G21" s="11"/>
      <c r="H21" s="11" t="s">
        <v>200</v>
      </c>
      <c r="I21" s="11" t="s">
        <v>33</v>
      </c>
      <c r="J21" s="11"/>
      <c r="K21" s="11">
        <v>1</v>
      </c>
    </row>
    <row r="22" spans="1:11" s="15" customFormat="1" ht="16.5" x14ac:dyDescent="0.15">
      <c r="A22" s="12"/>
      <c r="B22" s="11">
        <v>20</v>
      </c>
      <c r="C22" s="11" t="s">
        <v>225</v>
      </c>
      <c r="D22" s="11">
        <v>1</v>
      </c>
      <c r="E22" s="17" t="s">
        <v>278</v>
      </c>
      <c r="F22" s="11" t="s">
        <v>296</v>
      </c>
      <c r="G22" s="11" t="s">
        <v>283</v>
      </c>
      <c r="H22" s="11"/>
      <c r="I22" s="11" t="s">
        <v>33</v>
      </c>
      <c r="J22" s="11"/>
      <c r="K22" s="11">
        <v>1</v>
      </c>
    </row>
    <row r="23" spans="1:11" s="15" customFormat="1" ht="16.5" x14ac:dyDescent="0.15">
      <c r="A23" s="12"/>
      <c r="B23" s="11">
        <v>21</v>
      </c>
      <c r="C23" s="11" t="s">
        <v>224</v>
      </c>
      <c r="D23" s="11">
        <v>5</v>
      </c>
      <c r="E23" s="17" t="s">
        <v>279</v>
      </c>
      <c r="F23" s="11" t="s">
        <v>192</v>
      </c>
      <c r="G23" s="11"/>
      <c r="H23" s="11" t="s">
        <v>191</v>
      </c>
      <c r="I23" s="11" t="s">
        <v>197</v>
      </c>
      <c r="J23" s="11"/>
      <c r="K23" s="11">
        <v>1</v>
      </c>
    </row>
    <row r="24" spans="1:11" s="15" customFormat="1" ht="16.5" x14ac:dyDescent="0.15">
      <c r="A24" s="12"/>
      <c r="B24" s="11">
        <v>22</v>
      </c>
      <c r="C24" s="11" t="s">
        <v>223</v>
      </c>
      <c r="D24" s="11">
        <v>5</v>
      </c>
      <c r="E24" s="17" t="s">
        <v>279</v>
      </c>
      <c r="F24" s="11" t="s">
        <v>192</v>
      </c>
      <c r="G24" s="11"/>
      <c r="H24" s="11" t="s">
        <v>191</v>
      </c>
      <c r="I24" s="11" t="s">
        <v>195</v>
      </c>
      <c r="J24" s="11"/>
      <c r="K24" s="11">
        <v>1</v>
      </c>
    </row>
    <row r="25" spans="1:11" s="15" customFormat="1" ht="16.5" x14ac:dyDescent="0.15">
      <c r="A25" s="12"/>
      <c r="B25" s="11">
        <v>23</v>
      </c>
      <c r="C25" s="11" t="s">
        <v>222</v>
      </c>
      <c r="D25" s="11">
        <v>5</v>
      </c>
      <c r="E25" s="17" t="s">
        <v>279</v>
      </c>
      <c r="F25" s="11" t="s">
        <v>192</v>
      </c>
      <c r="G25" s="11"/>
      <c r="H25" s="11" t="s">
        <v>191</v>
      </c>
      <c r="I25" s="11" t="s">
        <v>114</v>
      </c>
      <c r="J25" s="11"/>
      <c r="K25" s="11">
        <v>1</v>
      </c>
    </row>
    <row r="26" spans="1:11" s="15" customFormat="1" ht="16.5" x14ac:dyDescent="0.15">
      <c r="A26" s="12"/>
      <c r="B26" s="11">
        <v>24</v>
      </c>
      <c r="C26" s="11" t="s">
        <v>221</v>
      </c>
      <c r="D26" s="11">
        <v>5</v>
      </c>
      <c r="E26" s="17" t="s">
        <v>279</v>
      </c>
      <c r="F26" s="11" t="s">
        <v>192</v>
      </c>
      <c r="G26" s="11"/>
      <c r="H26" s="11" t="s">
        <v>191</v>
      </c>
      <c r="I26" s="11" t="s">
        <v>115</v>
      </c>
      <c r="J26" s="11"/>
      <c r="K26" s="11">
        <v>1</v>
      </c>
    </row>
    <row r="27" spans="1:11" s="15" customFormat="1" ht="16.5" x14ac:dyDescent="0.15">
      <c r="A27" s="12"/>
      <c r="B27" s="11">
        <v>25</v>
      </c>
      <c r="C27" s="11" t="s">
        <v>220</v>
      </c>
      <c r="D27" s="11">
        <v>5</v>
      </c>
      <c r="E27" s="17" t="s">
        <v>274</v>
      </c>
      <c r="F27" s="11" t="s">
        <v>189</v>
      </c>
      <c r="G27" s="11"/>
      <c r="H27" s="11" t="s">
        <v>179</v>
      </c>
      <c r="I27" s="11" t="s">
        <v>33</v>
      </c>
      <c r="J27" s="11"/>
      <c r="K27" s="11">
        <v>1</v>
      </c>
    </row>
    <row r="28" spans="1:11" s="15" customFormat="1" ht="16.5" x14ac:dyDescent="0.15">
      <c r="A28" s="12"/>
      <c r="B28" s="11">
        <v>26</v>
      </c>
      <c r="C28" s="11" t="s">
        <v>219</v>
      </c>
      <c r="D28" s="11">
        <v>1</v>
      </c>
      <c r="E28" s="17" t="s">
        <v>275</v>
      </c>
      <c r="F28" s="11" t="s">
        <v>212</v>
      </c>
      <c r="G28" s="11" t="s">
        <v>218</v>
      </c>
      <c r="H28" s="11"/>
      <c r="I28" s="11" t="s">
        <v>33</v>
      </c>
      <c r="J28" s="11"/>
      <c r="K28" s="11">
        <v>1</v>
      </c>
    </row>
    <row r="29" spans="1:11" s="15" customFormat="1" ht="16.5" x14ac:dyDescent="0.15">
      <c r="A29" s="12"/>
      <c r="B29" s="11">
        <v>27</v>
      </c>
      <c r="C29" s="11" t="s">
        <v>217</v>
      </c>
      <c r="D29" s="11">
        <v>1</v>
      </c>
      <c r="E29" s="17" t="s">
        <v>275</v>
      </c>
      <c r="F29" s="11" t="s">
        <v>212</v>
      </c>
      <c r="G29" s="11" t="s">
        <v>216</v>
      </c>
      <c r="H29" s="11"/>
      <c r="I29" s="11" t="s">
        <v>33</v>
      </c>
      <c r="J29" s="11"/>
      <c r="K29" s="11">
        <v>1</v>
      </c>
    </row>
    <row r="30" spans="1:11" s="15" customFormat="1" ht="16.5" x14ac:dyDescent="0.15">
      <c r="A30" s="12"/>
      <c r="B30" s="11">
        <v>28</v>
      </c>
      <c r="C30" s="11" t="s">
        <v>215</v>
      </c>
      <c r="D30" s="11">
        <v>9</v>
      </c>
      <c r="E30" s="17" t="s">
        <v>275</v>
      </c>
      <c r="F30" s="11" t="s">
        <v>212</v>
      </c>
      <c r="G30" s="11"/>
      <c r="H30" s="11" t="s">
        <v>211</v>
      </c>
      <c r="I30" s="11" t="s">
        <v>214</v>
      </c>
      <c r="J30" s="11"/>
      <c r="K30" s="11">
        <v>1</v>
      </c>
    </row>
    <row r="31" spans="1:11" s="15" customFormat="1" ht="16.5" x14ac:dyDescent="0.15">
      <c r="A31" s="12"/>
      <c r="B31" s="11">
        <v>29</v>
      </c>
      <c r="C31" s="11" t="s">
        <v>213</v>
      </c>
      <c r="D31" s="11">
        <v>3</v>
      </c>
      <c r="E31" s="17" t="s">
        <v>275</v>
      </c>
      <c r="F31" s="11" t="s">
        <v>212</v>
      </c>
      <c r="G31" s="11"/>
      <c r="H31" s="11" t="s">
        <v>211</v>
      </c>
      <c r="I31" s="11" t="s">
        <v>210</v>
      </c>
      <c r="J31" s="11"/>
      <c r="K31" s="11">
        <v>1</v>
      </c>
    </row>
    <row r="32" spans="1:11" s="15" customFormat="1" ht="16.5" x14ac:dyDescent="0.15">
      <c r="A32" s="12"/>
      <c r="B32" s="11">
        <v>30</v>
      </c>
      <c r="C32" s="11" t="s">
        <v>209</v>
      </c>
      <c r="D32" s="11">
        <v>10</v>
      </c>
      <c r="E32" s="17" t="s">
        <v>267</v>
      </c>
      <c r="F32" s="11" t="s">
        <v>208</v>
      </c>
      <c r="G32" s="11"/>
      <c r="H32" s="11" t="s">
        <v>175</v>
      </c>
      <c r="I32" s="11" t="s">
        <v>33</v>
      </c>
      <c r="J32" s="11"/>
      <c r="K32" s="11">
        <v>1</v>
      </c>
    </row>
    <row r="33" spans="1:11" s="15" customFormat="1" ht="33" x14ac:dyDescent="0.15">
      <c r="A33" s="12"/>
      <c r="B33" s="11">
        <v>31</v>
      </c>
      <c r="C33" s="11" t="s">
        <v>207</v>
      </c>
      <c r="D33" s="11">
        <v>10</v>
      </c>
      <c r="E33" s="17" t="s">
        <v>276</v>
      </c>
      <c r="F33" s="11" t="s">
        <v>206</v>
      </c>
      <c r="G33" s="11"/>
      <c r="H33" s="11" t="s">
        <v>177</v>
      </c>
      <c r="I33" s="11" t="s">
        <v>33</v>
      </c>
      <c r="J33" s="11"/>
      <c r="K33" s="11">
        <v>1</v>
      </c>
    </row>
    <row r="34" spans="1:11" s="15" customFormat="1" ht="16.5" x14ac:dyDescent="0.15">
      <c r="A34" s="12"/>
      <c r="B34" s="11">
        <v>32</v>
      </c>
      <c r="C34" s="11" t="s">
        <v>205</v>
      </c>
      <c r="D34" s="11">
        <v>1</v>
      </c>
      <c r="E34" s="17" t="s">
        <v>277</v>
      </c>
      <c r="F34" s="11" t="s">
        <v>203</v>
      </c>
      <c r="G34" s="11" t="s">
        <v>283</v>
      </c>
      <c r="H34" s="11"/>
      <c r="I34" s="11" t="s">
        <v>33</v>
      </c>
      <c r="J34" s="11"/>
      <c r="K34" s="11">
        <v>1</v>
      </c>
    </row>
    <row r="35" spans="1:11" s="15" customFormat="1" ht="16.5" x14ac:dyDescent="0.35">
      <c r="A35" s="12"/>
      <c r="B35" s="11">
        <v>33</v>
      </c>
      <c r="C35" s="11" t="s">
        <v>204</v>
      </c>
      <c r="D35" s="11">
        <v>20</v>
      </c>
      <c r="E35" s="17" t="s">
        <v>269</v>
      </c>
      <c r="F35" s="14" t="s">
        <v>203</v>
      </c>
      <c r="G35" s="11"/>
      <c r="H35" s="11" t="s">
        <v>171</v>
      </c>
      <c r="I35" s="11" t="s">
        <v>33</v>
      </c>
      <c r="J35" s="11"/>
      <c r="K35" s="11">
        <v>1</v>
      </c>
    </row>
    <row r="36" spans="1:11" s="15" customFormat="1" ht="16.5" x14ac:dyDescent="0.15">
      <c r="A36" s="12"/>
      <c r="B36" s="11">
        <v>34</v>
      </c>
      <c r="C36" s="11" t="s">
        <v>202</v>
      </c>
      <c r="D36" s="11">
        <v>22</v>
      </c>
      <c r="E36" s="17" t="s">
        <v>272</v>
      </c>
      <c r="F36" s="11" t="s">
        <v>201</v>
      </c>
      <c r="G36" s="11"/>
      <c r="H36" s="11" t="s">
        <v>200</v>
      </c>
      <c r="I36" s="11" t="s">
        <v>33</v>
      </c>
      <c r="J36" s="11"/>
      <c r="K36" s="11">
        <v>1</v>
      </c>
    </row>
    <row r="37" spans="1:11" s="15" customFormat="1" ht="16.5" x14ac:dyDescent="0.15">
      <c r="A37" s="12"/>
      <c r="B37" s="11">
        <v>35</v>
      </c>
      <c r="C37" s="11" t="s">
        <v>199</v>
      </c>
      <c r="D37" s="11">
        <v>1</v>
      </c>
      <c r="E37" s="17" t="s">
        <v>278</v>
      </c>
      <c r="F37" s="11" t="s">
        <v>32</v>
      </c>
      <c r="G37" s="11" t="s">
        <v>284</v>
      </c>
      <c r="H37" s="11"/>
      <c r="I37" s="11" t="s">
        <v>33</v>
      </c>
      <c r="J37" s="11"/>
      <c r="K37" s="11">
        <v>1</v>
      </c>
    </row>
    <row r="38" spans="1:11" s="15" customFormat="1" ht="16.5" x14ac:dyDescent="0.15">
      <c r="A38" s="12"/>
      <c r="B38" s="11">
        <v>36</v>
      </c>
      <c r="C38" s="11" t="s">
        <v>198</v>
      </c>
      <c r="D38" s="11">
        <v>10</v>
      </c>
      <c r="E38" s="17" t="s">
        <v>279</v>
      </c>
      <c r="F38" s="11" t="s">
        <v>192</v>
      </c>
      <c r="G38" s="11"/>
      <c r="H38" s="11" t="s">
        <v>191</v>
      </c>
      <c r="I38" s="11" t="s">
        <v>197</v>
      </c>
      <c r="J38" s="11"/>
      <c r="K38" s="11">
        <v>1</v>
      </c>
    </row>
    <row r="39" spans="1:11" s="15" customFormat="1" ht="16.5" x14ac:dyDescent="0.15">
      <c r="A39" s="12"/>
      <c r="B39" s="11">
        <v>37</v>
      </c>
      <c r="C39" s="11" t="s">
        <v>196</v>
      </c>
      <c r="D39" s="11">
        <v>10</v>
      </c>
      <c r="E39" s="17" t="s">
        <v>279</v>
      </c>
      <c r="F39" s="11" t="s">
        <v>192</v>
      </c>
      <c r="G39" s="11"/>
      <c r="H39" s="11" t="s">
        <v>191</v>
      </c>
      <c r="I39" s="11" t="s">
        <v>195</v>
      </c>
      <c r="J39" s="11"/>
      <c r="K39" s="11">
        <v>1</v>
      </c>
    </row>
    <row r="40" spans="1:11" s="15" customFormat="1" ht="16.5" x14ac:dyDescent="0.15">
      <c r="A40" s="12"/>
      <c r="B40" s="11">
        <v>38</v>
      </c>
      <c r="C40" s="11" t="s">
        <v>194</v>
      </c>
      <c r="D40" s="11">
        <v>10</v>
      </c>
      <c r="E40" s="17" t="s">
        <v>279</v>
      </c>
      <c r="F40" s="11" t="s">
        <v>192</v>
      </c>
      <c r="G40" s="11"/>
      <c r="H40" s="11" t="s">
        <v>191</v>
      </c>
      <c r="I40" s="11" t="s">
        <v>114</v>
      </c>
      <c r="J40" s="11"/>
      <c r="K40" s="11">
        <v>1</v>
      </c>
    </row>
    <row r="41" spans="1:11" s="15" customFormat="1" ht="16.5" x14ac:dyDescent="0.15">
      <c r="A41" s="12"/>
      <c r="B41" s="11">
        <v>39</v>
      </c>
      <c r="C41" s="11" t="s">
        <v>193</v>
      </c>
      <c r="D41" s="11">
        <v>10</v>
      </c>
      <c r="E41" s="17" t="s">
        <v>279</v>
      </c>
      <c r="F41" s="11" t="s">
        <v>192</v>
      </c>
      <c r="G41" s="11"/>
      <c r="H41" s="11" t="s">
        <v>191</v>
      </c>
      <c r="I41" s="11" t="s">
        <v>115</v>
      </c>
      <c r="J41" s="11"/>
      <c r="K41" s="11">
        <v>1</v>
      </c>
    </row>
    <row r="42" spans="1:11" s="15" customFormat="1" ht="16.5" x14ac:dyDescent="0.15">
      <c r="A42" s="12"/>
      <c r="B42" s="11">
        <v>40</v>
      </c>
      <c r="C42" s="11" t="s">
        <v>190</v>
      </c>
      <c r="D42" s="11">
        <v>10</v>
      </c>
      <c r="E42" s="17" t="s">
        <v>274</v>
      </c>
      <c r="F42" s="11" t="s">
        <v>189</v>
      </c>
      <c r="G42" s="11"/>
      <c r="H42" s="11" t="s">
        <v>179</v>
      </c>
      <c r="I42" s="11" t="s">
        <v>33</v>
      </c>
      <c r="J42" s="11"/>
      <c r="K42" s="11">
        <v>1</v>
      </c>
    </row>
    <row r="43" spans="1:11" ht="16.5" x14ac:dyDescent="0.15">
      <c r="B43" s="11">
        <v>41</v>
      </c>
      <c r="C43" s="11" t="s">
        <v>360</v>
      </c>
      <c r="D43" s="11">
        <v>1</v>
      </c>
      <c r="E43" s="11" t="s">
        <v>375</v>
      </c>
      <c r="F43" s="11" t="s">
        <v>346</v>
      </c>
      <c r="G43" s="11"/>
      <c r="H43" s="11" t="s">
        <v>340</v>
      </c>
      <c r="I43" s="11" t="s">
        <v>352</v>
      </c>
      <c r="J43" s="11"/>
      <c r="K43" s="11">
        <v>1</v>
      </c>
    </row>
    <row r="44" spans="1:11" ht="16.5" x14ac:dyDescent="0.15">
      <c r="B44" s="11">
        <v>42</v>
      </c>
      <c r="C44" s="11" t="s">
        <v>361</v>
      </c>
      <c r="D44" s="11">
        <v>1</v>
      </c>
      <c r="E44" s="11" t="s">
        <v>375</v>
      </c>
      <c r="F44" s="11" t="s">
        <v>346</v>
      </c>
      <c r="G44" s="11"/>
      <c r="H44" s="11" t="s">
        <v>340</v>
      </c>
      <c r="I44" s="11" t="s">
        <v>353</v>
      </c>
      <c r="J44" s="11"/>
      <c r="K44" s="11">
        <v>1</v>
      </c>
    </row>
    <row r="45" spans="1:11" ht="16.5" x14ac:dyDescent="0.15">
      <c r="B45" s="11">
        <v>43</v>
      </c>
      <c r="C45" s="11" t="s">
        <v>362</v>
      </c>
      <c r="D45" s="11">
        <v>1</v>
      </c>
      <c r="E45" s="11" t="s">
        <v>375</v>
      </c>
      <c r="F45" s="11" t="s">
        <v>346</v>
      </c>
      <c r="G45" s="11"/>
      <c r="H45" s="11" t="s">
        <v>340</v>
      </c>
      <c r="I45" s="11" t="s">
        <v>195</v>
      </c>
      <c r="J45" s="11"/>
      <c r="K45" s="11">
        <v>1</v>
      </c>
    </row>
    <row r="46" spans="1:11" ht="16.5" x14ac:dyDescent="0.15">
      <c r="B46" s="11">
        <v>44</v>
      </c>
      <c r="C46" s="11" t="s">
        <v>363</v>
      </c>
      <c r="D46" s="11">
        <v>1</v>
      </c>
      <c r="E46" s="11" t="s">
        <v>375</v>
      </c>
      <c r="F46" s="11" t="s">
        <v>346</v>
      </c>
      <c r="G46" s="11"/>
      <c r="H46" s="11" t="s">
        <v>340</v>
      </c>
      <c r="I46" s="11" t="s">
        <v>114</v>
      </c>
      <c r="J46" s="11"/>
      <c r="K46" s="11">
        <v>1</v>
      </c>
    </row>
    <row r="47" spans="1:11" ht="16.5" x14ac:dyDescent="0.15">
      <c r="B47" s="11">
        <v>45</v>
      </c>
      <c r="C47" s="11" t="s">
        <v>364</v>
      </c>
      <c r="D47" s="11">
        <v>1</v>
      </c>
      <c r="E47" s="11" t="s">
        <v>375</v>
      </c>
      <c r="F47" s="11" t="s">
        <v>346</v>
      </c>
      <c r="G47" s="11"/>
      <c r="H47" s="11" t="s">
        <v>340</v>
      </c>
      <c r="I47" s="11" t="s">
        <v>115</v>
      </c>
      <c r="J47" s="11"/>
      <c r="K47" s="11">
        <v>1</v>
      </c>
    </row>
    <row r="48" spans="1:11" ht="16.5" x14ac:dyDescent="0.15">
      <c r="B48" s="11">
        <v>46</v>
      </c>
      <c r="C48" s="11" t="s">
        <v>365</v>
      </c>
      <c r="D48" s="11">
        <v>1</v>
      </c>
      <c r="E48" s="11" t="s">
        <v>375</v>
      </c>
      <c r="F48" s="11" t="s">
        <v>346</v>
      </c>
      <c r="G48" s="11"/>
      <c r="H48" s="11" t="s">
        <v>340</v>
      </c>
      <c r="I48" s="11" t="s">
        <v>116</v>
      </c>
      <c r="J48" s="11"/>
      <c r="K48" s="11">
        <v>1</v>
      </c>
    </row>
    <row r="49" spans="2:11" ht="16.5" x14ac:dyDescent="0.15">
      <c r="B49" s="11">
        <v>47</v>
      </c>
      <c r="C49" s="11" t="s">
        <v>366</v>
      </c>
      <c r="D49" s="11">
        <v>1</v>
      </c>
      <c r="E49" s="11" t="s">
        <v>375</v>
      </c>
      <c r="F49" s="11" t="s">
        <v>346</v>
      </c>
      <c r="G49" s="11"/>
      <c r="H49" s="11" t="s">
        <v>340</v>
      </c>
      <c r="I49" s="11" t="s">
        <v>117</v>
      </c>
      <c r="J49" s="11"/>
      <c r="K49" s="11">
        <v>1</v>
      </c>
    </row>
    <row r="50" spans="2:11" ht="16.5" x14ac:dyDescent="0.15">
      <c r="B50" s="11">
        <v>48</v>
      </c>
      <c r="C50" s="11" t="s">
        <v>367</v>
      </c>
      <c r="D50" s="11">
        <v>1</v>
      </c>
      <c r="E50" s="11" t="s">
        <v>375</v>
      </c>
      <c r="F50" s="11" t="s">
        <v>346</v>
      </c>
      <c r="G50" s="11"/>
      <c r="H50" s="11" t="s">
        <v>340</v>
      </c>
      <c r="I50" s="11" t="s">
        <v>118</v>
      </c>
      <c r="J50" s="11"/>
      <c r="K50" s="11">
        <v>1</v>
      </c>
    </row>
    <row r="51" spans="2:11" ht="16.5" x14ac:dyDescent="0.15">
      <c r="B51" s="11">
        <v>49</v>
      </c>
      <c r="C51" s="11" t="s">
        <v>368</v>
      </c>
      <c r="D51" s="11">
        <v>1</v>
      </c>
      <c r="E51" s="11" t="s">
        <v>375</v>
      </c>
      <c r="F51" s="11" t="s">
        <v>346</v>
      </c>
      <c r="G51" s="11"/>
      <c r="H51" s="11" t="s">
        <v>340</v>
      </c>
      <c r="I51" s="11" t="s">
        <v>119</v>
      </c>
      <c r="J51" s="11"/>
      <c r="K51" s="11">
        <v>1</v>
      </c>
    </row>
    <row r="52" spans="2:11" ht="16.5" x14ac:dyDescent="0.15">
      <c r="B52" s="11">
        <v>50</v>
      </c>
      <c r="C52" s="11" t="s">
        <v>369</v>
      </c>
      <c r="D52" s="11">
        <v>1</v>
      </c>
      <c r="E52" s="11" t="s">
        <v>375</v>
      </c>
      <c r="F52" s="11" t="s">
        <v>346</v>
      </c>
      <c r="G52" s="11"/>
      <c r="H52" s="11" t="s">
        <v>340</v>
      </c>
      <c r="I52" s="11" t="s">
        <v>120</v>
      </c>
      <c r="J52" s="11"/>
      <c r="K52" s="11">
        <v>1</v>
      </c>
    </row>
    <row r="53" spans="2:11" ht="16.5" x14ac:dyDescent="0.15">
      <c r="B53" s="11">
        <v>51</v>
      </c>
      <c r="C53" s="11" t="s">
        <v>370</v>
      </c>
      <c r="D53" s="11">
        <v>1</v>
      </c>
      <c r="E53" s="11" t="s">
        <v>375</v>
      </c>
      <c r="F53" s="11" t="s">
        <v>346</v>
      </c>
      <c r="G53" s="11"/>
      <c r="H53" s="11" t="s">
        <v>340</v>
      </c>
      <c r="I53" s="11" t="s">
        <v>36</v>
      </c>
      <c r="J53" s="11"/>
      <c r="K53" s="11">
        <v>1</v>
      </c>
    </row>
    <row r="54" spans="2:11" ht="16.5" x14ac:dyDescent="0.15">
      <c r="B54" s="11">
        <v>52</v>
      </c>
      <c r="C54" s="11" t="s">
        <v>371</v>
      </c>
      <c r="D54" s="11">
        <v>1</v>
      </c>
      <c r="E54" s="11" t="s">
        <v>375</v>
      </c>
      <c r="F54" s="11" t="s">
        <v>346</v>
      </c>
      <c r="G54" s="11"/>
      <c r="H54" s="11" t="s">
        <v>340</v>
      </c>
      <c r="I54" s="11" t="s">
        <v>121</v>
      </c>
      <c r="J54" s="11"/>
      <c r="K54" s="11">
        <v>1</v>
      </c>
    </row>
    <row r="55" spans="2:11" ht="16.5" x14ac:dyDescent="0.15">
      <c r="B55" s="11">
        <v>53</v>
      </c>
      <c r="C55" s="11" t="s">
        <v>372</v>
      </c>
      <c r="D55" s="11">
        <v>1</v>
      </c>
      <c r="E55" s="11" t="s">
        <v>375</v>
      </c>
      <c r="F55" s="11" t="s">
        <v>346</v>
      </c>
      <c r="G55" s="11"/>
      <c r="H55" s="11" t="s">
        <v>340</v>
      </c>
      <c r="I55" s="11" t="s">
        <v>122</v>
      </c>
      <c r="J55" s="11"/>
      <c r="K55" s="11">
        <v>1</v>
      </c>
    </row>
    <row r="56" spans="2:11" ht="16.5" x14ac:dyDescent="0.15">
      <c r="B56" s="11">
        <v>54</v>
      </c>
      <c r="C56" s="11" t="s">
        <v>373</v>
      </c>
      <c r="D56" s="11">
        <v>1</v>
      </c>
      <c r="E56" s="11" t="s">
        <v>375</v>
      </c>
      <c r="F56" s="11" t="s">
        <v>346</v>
      </c>
      <c r="G56" s="11"/>
      <c r="H56" s="11" t="s">
        <v>340</v>
      </c>
      <c r="I56" s="11" t="s">
        <v>123</v>
      </c>
      <c r="J56" s="11"/>
      <c r="K56" s="11">
        <v>1</v>
      </c>
    </row>
    <row r="57" spans="2:11" ht="16.5" x14ac:dyDescent="0.15">
      <c r="B57" s="11">
        <v>55</v>
      </c>
      <c r="C57" s="11" t="s">
        <v>374</v>
      </c>
      <c r="D57" s="11">
        <v>1</v>
      </c>
      <c r="E57" s="11" t="s">
        <v>375</v>
      </c>
      <c r="F57" s="11" t="s">
        <v>346</v>
      </c>
      <c r="G57" s="11"/>
      <c r="H57" s="11" t="s">
        <v>340</v>
      </c>
      <c r="I57" s="11" t="s">
        <v>124</v>
      </c>
      <c r="J57" s="11"/>
      <c r="K57" s="11">
        <v>1</v>
      </c>
    </row>
    <row r="58" spans="2:11" ht="16.5" x14ac:dyDescent="0.15">
      <c r="B58" s="11">
        <v>56</v>
      </c>
      <c r="C58" s="11" t="s">
        <v>387</v>
      </c>
      <c r="D58" s="11">
        <v>1</v>
      </c>
      <c r="E58" s="11" t="s">
        <v>376</v>
      </c>
      <c r="F58" s="11" t="s">
        <v>345</v>
      </c>
      <c r="G58" s="11"/>
      <c r="H58" s="11" t="s">
        <v>339</v>
      </c>
      <c r="I58" s="11" t="s">
        <v>389</v>
      </c>
      <c r="J58" s="11"/>
      <c r="K58" s="11">
        <v>1</v>
      </c>
    </row>
    <row r="59" spans="2:11" ht="16.5" x14ac:dyDescent="0.15">
      <c r="B59" s="11">
        <v>57</v>
      </c>
      <c r="C59" s="11" t="s">
        <v>386</v>
      </c>
      <c r="D59" s="17">
        <v>1</v>
      </c>
      <c r="E59" s="11" t="s">
        <v>388</v>
      </c>
      <c r="F59" s="11" t="s">
        <v>345</v>
      </c>
      <c r="G59" s="17"/>
      <c r="H59" s="11" t="s">
        <v>339</v>
      </c>
      <c r="I59" s="11" t="s">
        <v>390</v>
      </c>
      <c r="J59" s="17"/>
      <c r="K59" s="11">
        <v>1</v>
      </c>
    </row>
  </sheetData>
  <phoneticPr fontId="1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3" name="Button 4">
              <controlPr defaultSize="0" print="0" autoPict="0" macro="[0]!t_task_action_setting.t_task_action_setting">
                <anchor mov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0</xdr:col>
                    <xdr:colOff>1057275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K64"/>
  <sheetViews>
    <sheetView workbookViewId="0">
      <selection activeCell="J62" sqref="J62"/>
    </sheetView>
  </sheetViews>
  <sheetFormatPr defaultRowHeight="14.25" x14ac:dyDescent="0.15"/>
  <cols>
    <col min="1" max="1" width="16.125" customWidth="1"/>
    <col min="10" max="10" width="14.375" customWidth="1"/>
  </cols>
  <sheetData>
    <row r="1" spans="2:11" ht="16.5" x14ac:dyDescent="0.15">
      <c r="B1" s="3" t="s">
        <v>37</v>
      </c>
      <c r="C1" s="3" t="s">
        <v>6</v>
      </c>
      <c r="D1" s="3" t="s">
        <v>38</v>
      </c>
      <c r="E1" s="3" t="s">
        <v>39</v>
      </c>
      <c r="F1" s="3" t="s">
        <v>40</v>
      </c>
      <c r="G1" s="3" t="s">
        <v>41</v>
      </c>
      <c r="J1" s="6" t="s">
        <v>92</v>
      </c>
      <c r="K1" s="6"/>
    </row>
    <row r="2" spans="2:11" ht="16.5" x14ac:dyDescent="0.15">
      <c r="B2" s="3" t="s">
        <v>181</v>
      </c>
      <c r="C2" s="3" t="s">
        <v>42</v>
      </c>
      <c r="D2" s="3" t="s">
        <v>43</v>
      </c>
      <c r="E2" s="3" t="s">
        <v>44</v>
      </c>
      <c r="F2" s="3" t="s">
        <v>45</v>
      </c>
      <c r="G2" s="3" t="s">
        <v>46</v>
      </c>
      <c r="J2" s="7" t="s">
        <v>93</v>
      </c>
      <c r="K2" s="6" t="s">
        <v>94</v>
      </c>
    </row>
    <row r="3" spans="2:11" ht="16.5" x14ac:dyDescent="0.15">
      <c r="B3" s="3">
        <v>1</v>
      </c>
      <c r="C3" s="3">
        <v>1001</v>
      </c>
      <c r="D3" s="3">
        <v>0</v>
      </c>
      <c r="E3" s="3">
        <v>2</v>
      </c>
      <c r="F3" s="3">
        <v>900</v>
      </c>
      <c r="G3" s="3">
        <v>0</v>
      </c>
      <c r="J3" s="7" t="s">
        <v>95</v>
      </c>
      <c r="K3" s="6" t="s">
        <v>96</v>
      </c>
    </row>
    <row r="4" spans="2:11" ht="16.5" x14ac:dyDescent="0.15">
      <c r="B4" s="3">
        <v>2</v>
      </c>
      <c r="C4" s="3">
        <v>1001</v>
      </c>
      <c r="D4" s="3">
        <v>0</v>
      </c>
      <c r="E4" s="3">
        <v>3</v>
      </c>
      <c r="F4" s="3">
        <v>900</v>
      </c>
      <c r="G4" s="3">
        <v>0</v>
      </c>
      <c r="J4" s="7" t="s">
        <v>97</v>
      </c>
      <c r="K4" s="6" t="s">
        <v>96</v>
      </c>
    </row>
    <row r="5" spans="2:11" ht="16.5" x14ac:dyDescent="0.15">
      <c r="B5" s="3">
        <v>3</v>
      </c>
      <c r="C5" s="3">
        <v>1002</v>
      </c>
      <c r="D5" s="3">
        <v>82003</v>
      </c>
      <c r="E5" s="3">
        <v>1</v>
      </c>
      <c r="F5" s="3">
        <v>1</v>
      </c>
      <c r="G5" s="3">
        <v>1</v>
      </c>
      <c r="J5" s="7" t="s">
        <v>98</v>
      </c>
      <c r="K5" s="6" t="s">
        <v>99</v>
      </c>
    </row>
    <row r="6" spans="2:11" ht="16.5" x14ac:dyDescent="0.15">
      <c r="B6" s="3">
        <v>4</v>
      </c>
      <c r="C6" s="3">
        <v>1002</v>
      </c>
      <c r="D6" s="3">
        <v>0</v>
      </c>
      <c r="E6" s="3">
        <v>2</v>
      </c>
      <c r="F6" s="3">
        <v>900</v>
      </c>
      <c r="G6" s="3">
        <v>0</v>
      </c>
      <c r="J6" s="7" t="s">
        <v>100</v>
      </c>
      <c r="K6" s="6" t="s">
        <v>96</v>
      </c>
    </row>
    <row r="7" spans="2:11" ht="16.5" x14ac:dyDescent="0.15">
      <c r="B7" s="3">
        <v>5</v>
      </c>
      <c r="C7" s="3">
        <v>1003</v>
      </c>
      <c r="D7" s="3">
        <v>82003</v>
      </c>
      <c r="E7" s="3">
        <v>1</v>
      </c>
      <c r="F7" s="3">
        <v>1</v>
      </c>
      <c r="G7" s="3">
        <v>1</v>
      </c>
      <c r="J7" s="7" t="s">
        <v>101</v>
      </c>
      <c r="K7" s="6"/>
    </row>
    <row r="8" spans="2:11" ht="16.5" x14ac:dyDescent="0.15">
      <c r="B8" s="3">
        <v>6</v>
      </c>
      <c r="C8" s="3">
        <v>1003</v>
      </c>
      <c r="D8" s="3">
        <v>0</v>
      </c>
      <c r="E8" s="3">
        <v>3</v>
      </c>
      <c r="F8" s="3">
        <v>900</v>
      </c>
      <c r="G8" s="3">
        <v>0</v>
      </c>
      <c r="J8" s="7" t="s">
        <v>102</v>
      </c>
      <c r="K8" s="6"/>
    </row>
    <row r="9" spans="2:11" ht="16.5" x14ac:dyDescent="0.15">
      <c r="B9" s="3">
        <v>7</v>
      </c>
      <c r="C9" s="3">
        <v>1004</v>
      </c>
      <c r="D9" s="3">
        <v>82005</v>
      </c>
      <c r="E9" s="3">
        <v>1</v>
      </c>
      <c r="F9" s="3">
        <v>1</v>
      </c>
      <c r="G9" s="3">
        <v>1</v>
      </c>
      <c r="J9" s="7" t="s">
        <v>103</v>
      </c>
      <c r="K9" s="6" t="s">
        <v>96</v>
      </c>
    </row>
    <row r="10" spans="2:11" ht="16.5" x14ac:dyDescent="0.15">
      <c r="B10" s="3">
        <v>8</v>
      </c>
      <c r="C10" s="3">
        <v>1004</v>
      </c>
      <c r="D10" s="3">
        <v>82003</v>
      </c>
      <c r="E10" s="3">
        <v>1</v>
      </c>
      <c r="F10" s="3">
        <v>1</v>
      </c>
      <c r="G10" s="3">
        <v>1</v>
      </c>
      <c r="J10" s="7" t="s">
        <v>104</v>
      </c>
      <c r="K10" s="6" t="s">
        <v>96</v>
      </c>
    </row>
    <row r="11" spans="2:11" ht="16.5" x14ac:dyDescent="0.15">
      <c r="B11" s="3">
        <v>9</v>
      </c>
      <c r="C11" s="3">
        <v>1005</v>
      </c>
      <c r="D11" s="3">
        <v>82005</v>
      </c>
      <c r="E11" s="3">
        <v>1</v>
      </c>
      <c r="F11" s="3">
        <v>1</v>
      </c>
      <c r="G11" s="3">
        <v>1</v>
      </c>
      <c r="J11" s="7" t="s">
        <v>105</v>
      </c>
      <c r="K11" s="6" t="s">
        <v>96</v>
      </c>
    </row>
    <row r="12" spans="2:11" ht="16.5" x14ac:dyDescent="0.15">
      <c r="B12" s="3">
        <v>10</v>
      </c>
      <c r="C12" s="3">
        <v>1005</v>
      </c>
      <c r="D12" s="3">
        <v>82003</v>
      </c>
      <c r="E12" s="3">
        <v>1</v>
      </c>
      <c r="F12" s="3">
        <v>1</v>
      </c>
      <c r="G12" s="3">
        <v>0</v>
      </c>
    </row>
    <row r="13" spans="2:11" ht="16.5" x14ac:dyDescent="0.15">
      <c r="B13" s="3">
        <v>11</v>
      </c>
      <c r="C13" s="3">
        <v>1006</v>
      </c>
      <c r="D13" s="3">
        <v>0</v>
      </c>
      <c r="E13" s="3">
        <v>8</v>
      </c>
      <c r="F13" s="3">
        <v>99999</v>
      </c>
      <c r="G13" s="3">
        <v>0</v>
      </c>
    </row>
    <row r="14" spans="2:11" ht="16.5" x14ac:dyDescent="0.15">
      <c r="B14" s="3">
        <v>12</v>
      </c>
      <c r="C14" s="3">
        <v>1007</v>
      </c>
      <c r="D14" s="3">
        <v>0</v>
      </c>
      <c r="E14" s="3">
        <v>9</v>
      </c>
      <c r="F14" s="3">
        <v>99999</v>
      </c>
      <c r="G14" s="3">
        <v>0</v>
      </c>
    </row>
    <row r="15" spans="2:11" ht="16.5" x14ac:dyDescent="0.15">
      <c r="B15" s="3">
        <v>13</v>
      </c>
      <c r="C15" s="3">
        <v>1008</v>
      </c>
      <c r="D15" s="3">
        <v>82004</v>
      </c>
      <c r="E15" s="3">
        <v>1</v>
      </c>
      <c r="F15" s="3">
        <v>1</v>
      </c>
      <c r="G15" s="3">
        <v>1</v>
      </c>
    </row>
    <row r="16" spans="2:11" ht="16.5" x14ac:dyDescent="0.15">
      <c r="B16" s="3">
        <v>14</v>
      </c>
      <c r="C16" s="3">
        <v>1009</v>
      </c>
      <c r="D16" s="3">
        <v>82003</v>
      </c>
      <c r="E16" s="3">
        <v>1</v>
      </c>
      <c r="F16" s="3">
        <v>1</v>
      </c>
      <c r="G16" s="3">
        <v>1</v>
      </c>
    </row>
    <row r="17" spans="2:7" ht="16.5" x14ac:dyDescent="0.15">
      <c r="B17" s="3">
        <v>15</v>
      </c>
      <c r="C17" s="3">
        <v>1010</v>
      </c>
      <c r="D17" s="3">
        <v>82003</v>
      </c>
      <c r="E17" s="3">
        <v>1</v>
      </c>
      <c r="F17" s="3">
        <v>1</v>
      </c>
      <c r="G17" s="3">
        <v>0</v>
      </c>
    </row>
    <row r="18" spans="2:7" ht="16.5" x14ac:dyDescent="0.15">
      <c r="B18" s="3">
        <v>16</v>
      </c>
      <c r="C18" s="3">
        <v>1011</v>
      </c>
      <c r="D18" s="3">
        <v>0</v>
      </c>
      <c r="E18" s="3">
        <v>10</v>
      </c>
      <c r="F18" s="3">
        <v>6</v>
      </c>
      <c r="G18" s="3">
        <v>0</v>
      </c>
    </row>
    <row r="19" spans="2:7" ht="16.5" x14ac:dyDescent="0.15">
      <c r="B19" s="3">
        <v>17</v>
      </c>
      <c r="C19" s="3">
        <v>1012</v>
      </c>
      <c r="D19" s="3">
        <v>0</v>
      </c>
      <c r="E19" s="3">
        <v>10</v>
      </c>
      <c r="F19" s="3">
        <v>6</v>
      </c>
      <c r="G19" s="3">
        <v>0</v>
      </c>
    </row>
    <row r="20" spans="2:7" ht="16.5" x14ac:dyDescent="0.15">
      <c r="B20" s="3">
        <v>18</v>
      </c>
      <c r="C20" s="3">
        <v>1013</v>
      </c>
      <c r="D20" s="3">
        <v>0</v>
      </c>
      <c r="E20" s="3">
        <v>10</v>
      </c>
      <c r="F20" s="3">
        <v>6</v>
      </c>
      <c r="G20" s="3">
        <v>0</v>
      </c>
    </row>
    <row r="21" spans="2:7" ht="16.5" x14ac:dyDescent="0.15">
      <c r="B21" s="3">
        <v>19</v>
      </c>
      <c r="C21" s="3">
        <v>1014</v>
      </c>
      <c r="D21" s="3">
        <v>0</v>
      </c>
      <c r="E21" s="3">
        <v>10</v>
      </c>
      <c r="F21" s="3">
        <v>6</v>
      </c>
      <c r="G21" s="3">
        <v>0</v>
      </c>
    </row>
    <row r="22" spans="2:7" ht="16.5" x14ac:dyDescent="0.15">
      <c r="B22" s="3">
        <v>20</v>
      </c>
      <c r="C22" s="3">
        <v>1015</v>
      </c>
      <c r="D22" s="3">
        <v>0</v>
      </c>
      <c r="E22" s="3">
        <v>10</v>
      </c>
      <c r="F22" s="3">
        <v>6</v>
      </c>
      <c r="G22" s="3">
        <v>0</v>
      </c>
    </row>
    <row r="23" spans="2:7" ht="16.5" x14ac:dyDescent="0.15">
      <c r="B23" s="3">
        <v>21</v>
      </c>
      <c r="C23" s="3">
        <v>1016</v>
      </c>
      <c r="D23" s="3">
        <v>0</v>
      </c>
      <c r="E23" s="3">
        <v>10</v>
      </c>
      <c r="F23" s="3">
        <v>6</v>
      </c>
      <c r="G23" s="3">
        <v>0</v>
      </c>
    </row>
    <row r="24" spans="2:7" ht="16.5" x14ac:dyDescent="0.15">
      <c r="B24" s="3">
        <v>22</v>
      </c>
      <c r="C24" s="3">
        <v>1017</v>
      </c>
      <c r="D24" s="3">
        <v>0</v>
      </c>
      <c r="E24" s="3">
        <v>10</v>
      </c>
      <c r="F24" s="3">
        <v>6</v>
      </c>
      <c r="G24" s="3">
        <v>0</v>
      </c>
    </row>
    <row r="25" spans="2:7" ht="16.5" x14ac:dyDescent="0.15">
      <c r="B25" s="3">
        <v>23</v>
      </c>
      <c r="C25" s="3">
        <v>1018</v>
      </c>
      <c r="D25" s="3">
        <v>0</v>
      </c>
      <c r="E25" s="3">
        <v>10</v>
      </c>
      <c r="F25" s="3">
        <v>6</v>
      </c>
      <c r="G25" s="3">
        <v>0</v>
      </c>
    </row>
    <row r="26" spans="2:7" ht="16.5" x14ac:dyDescent="0.15">
      <c r="B26" s="3">
        <v>24</v>
      </c>
      <c r="C26" s="3">
        <v>1019</v>
      </c>
      <c r="D26" s="3">
        <v>0</v>
      </c>
      <c r="E26" s="3">
        <v>10</v>
      </c>
      <c r="F26" s="3">
        <v>6</v>
      </c>
      <c r="G26" s="3">
        <v>0</v>
      </c>
    </row>
    <row r="27" spans="2:7" ht="16.5" x14ac:dyDescent="0.15">
      <c r="B27" s="3">
        <v>25</v>
      </c>
      <c r="C27" s="3">
        <v>1020</v>
      </c>
      <c r="D27" s="3">
        <v>0</v>
      </c>
      <c r="E27" s="3">
        <v>10</v>
      </c>
      <c r="F27" s="3">
        <v>6</v>
      </c>
      <c r="G27" s="3">
        <v>0</v>
      </c>
    </row>
    <row r="28" spans="2:7" ht="16.5" x14ac:dyDescent="0.15">
      <c r="B28" s="3">
        <v>26</v>
      </c>
      <c r="C28" s="3">
        <v>1021</v>
      </c>
      <c r="D28" s="3">
        <v>0</v>
      </c>
      <c r="E28" s="3">
        <v>10</v>
      </c>
      <c r="F28" s="3">
        <v>6</v>
      </c>
      <c r="G28" s="3">
        <v>0</v>
      </c>
    </row>
    <row r="29" spans="2:7" ht="16.5" x14ac:dyDescent="0.15">
      <c r="B29" s="3">
        <v>27</v>
      </c>
      <c r="C29" s="3">
        <v>1022</v>
      </c>
      <c r="D29" s="3">
        <v>0</v>
      </c>
      <c r="E29" s="3">
        <v>10</v>
      </c>
      <c r="F29" s="3">
        <v>6</v>
      </c>
      <c r="G29" s="3">
        <v>0</v>
      </c>
    </row>
    <row r="30" spans="2:7" ht="16.5" x14ac:dyDescent="0.15">
      <c r="B30" s="3">
        <v>28</v>
      </c>
      <c r="C30" s="3">
        <v>1023</v>
      </c>
      <c r="D30" s="3">
        <v>0</v>
      </c>
      <c r="E30" s="3">
        <v>10</v>
      </c>
      <c r="F30" s="3">
        <v>6</v>
      </c>
      <c r="G30" s="3">
        <v>0</v>
      </c>
    </row>
    <row r="31" spans="2:7" ht="16.5" x14ac:dyDescent="0.15">
      <c r="B31" s="3">
        <v>29</v>
      </c>
      <c r="C31" s="3">
        <v>1024</v>
      </c>
      <c r="D31" s="3">
        <v>0</v>
      </c>
      <c r="E31" s="3">
        <v>10</v>
      </c>
      <c r="F31" s="3">
        <v>6</v>
      </c>
      <c r="G31" s="3">
        <v>0</v>
      </c>
    </row>
    <row r="32" spans="2:7" ht="16.5" x14ac:dyDescent="0.15">
      <c r="B32" s="3">
        <v>30</v>
      </c>
      <c r="C32" s="3">
        <v>1025</v>
      </c>
      <c r="D32" s="3">
        <v>0</v>
      </c>
      <c r="E32" s="3">
        <v>10</v>
      </c>
      <c r="F32" s="3">
        <v>6</v>
      </c>
      <c r="G32" s="3">
        <v>0</v>
      </c>
    </row>
    <row r="33" spans="2:7" ht="16.5" x14ac:dyDescent="0.15">
      <c r="B33" s="3">
        <v>31</v>
      </c>
      <c r="C33" s="3">
        <v>1026</v>
      </c>
      <c r="D33" s="3">
        <v>0</v>
      </c>
      <c r="E33" s="3">
        <v>10</v>
      </c>
      <c r="F33" s="3">
        <v>13</v>
      </c>
      <c r="G33" s="3">
        <v>0</v>
      </c>
    </row>
    <row r="34" spans="2:7" ht="16.5" x14ac:dyDescent="0.15">
      <c r="B34" s="3">
        <v>32</v>
      </c>
      <c r="C34" s="3">
        <v>1027</v>
      </c>
      <c r="D34" s="3">
        <v>0</v>
      </c>
      <c r="E34" s="3">
        <v>10</v>
      </c>
      <c r="F34" s="3">
        <v>13</v>
      </c>
      <c r="G34" s="3">
        <v>0</v>
      </c>
    </row>
    <row r="35" spans="2:7" ht="16.5" x14ac:dyDescent="0.15">
      <c r="B35" s="3">
        <v>33</v>
      </c>
      <c r="C35" s="3">
        <v>1028</v>
      </c>
      <c r="D35" s="3">
        <v>0</v>
      </c>
      <c r="E35" s="3">
        <v>10</v>
      </c>
      <c r="F35" s="3">
        <v>13</v>
      </c>
      <c r="G35" s="3">
        <v>0</v>
      </c>
    </row>
    <row r="36" spans="2:7" ht="16.5" x14ac:dyDescent="0.15">
      <c r="B36" s="3">
        <v>34</v>
      </c>
      <c r="C36" s="3">
        <v>1029</v>
      </c>
      <c r="D36" s="3">
        <v>0</v>
      </c>
      <c r="E36" s="3">
        <v>10</v>
      </c>
      <c r="F36" s="3">
        <v>13</v>
      </c>
      <c r="G36" s="3">
        <v>0</v>
      </c>
    </row>
    <row r="37" spans="2:7" ht="16.5" x14ac:dyDescent="0.15">
      <c r="B37" s="3">
        <v>35</v>
      </c>
      <c r="C37" s="3">
        <v>1030</v>
      </c>
      <c r="D37" s="3">
        <v>0</v>
      </c>
      <c r="E37" s="3">
        <v>10</v>
      </c>
      <c r="F37" s="3">
        <v>13</v>
      </c>
      <c r="G37" s="3">
        <v>0</v>
      </c>
    </row>
    <row r="38" spans="2:7" ht="16.5" x14ac:dyDescent="0.15">
      <c r="B38" s="3">
        <v>36</v>
      </c>
      <c r="C38" s="3">
        <v>1031</v>
      </c>
      <c r="D38" s="3">
        <v>0</v>
      </c>
      <c r="E38" s="3">
        <v>10</v>
      </c>
      <c r="F38" s="3">
        <v>13</v>
      </c>
      <c r="G38" s="3">
        <v>0</v>
      </c>
    </row>
    <row r="39" spans="2:7" ht="16.5" x14ac:dyDescent="0.15">
      <c r="B39" s="3">
        <v>37</v>
      </c>
      <c r="C39" s="3">
        <v>1032</v>
      </c>
      <c r="D39" s="3">
        <v>0</v>
      </c>
      <c r="E39" s="3">
        <v>10</v>
      </c>
      <c r="F39" s="3">
        <v>13</v>
      </c>
      <c r="G39" s="3">
        <v>0</v>
      </c>
    </row>
    <row r="40" spans="2:7" ht="16.5" x14ac:dyDescent="0.15">
      <c r="B40" s="3">
        <v>38</v>
      </c>
      <c r="C40" s="3">
        <v>1033</v>
      </c>
      <c r="D40" s="3">
        <v>0</v>
      </c>
      <c r="E40" s="3">
        <v>10</v>
      </c>
      <c r="F40" s="3">
        <v>13</v>
      </c>
      <c r="G40" s="3">
        <v>0</v>
      </c>
    </row>
    <row r="41" spans="2:7" ht="16.5" x14ac:dyDescent="0.15">
      <c r="B41" s="3">
        <v>39</v>
      </c>
      <c r="C41" s="3">
        <v>1034</v>
      </c>
      <c r="D41" s="3">
        <v>0</v>
      </c>
      <c r="E41" s="3">
        <v>10</v>
      </c>
      <c r="F41" s="3">
        <v>13</v>
      </c>
      <c r="G41" s="3">
        <v>0</v>
      </c>
    </row>
    <row r="42" spans="2:7" ht="16.5" x14ac:dyDescent="0.15">
      <c r="B42" s="3">
        <v>40</v>
      </c>
      <c r="C42" s="3">
        <v>1035</v>
      </c>
      <c r="D42" s="3">
        <v>0</v>
      </c>
      <c r="E42" s="3">
        <v>10</v>
      </c>
      <c r="F42" s="3">
        <v>13</v>
      </c>
      <c r="G42" s="3">
        <v>0</v>
      </c>
    </row>
    <row r="43" spans="2:7" ht="16.5" x14ac:dyDescent="0.15">
      <c r="B43" s="3">
        <v>41</v>
      </c>
      <c r="C43" s="3">
        <v>1036</v>
      </c>
      <c r="D43" s="3">
        <v>0</v>
      </c>
      <c r="E43" s="3">
        <v>10</v>
      </c>
      <c r="F43" s="3">
        <v>13</v>
      </c>
      <c r="G43" s="3">
        <v>0</v>
      </c>
    </row>
    <row r="44" spans="2:7" ht="16.5" x14ac:dyDescent="0.15">
      <c r="B44" s="3">
        <v>42</v>
      </c>
      <c r="C44" s="3">
        <v>1037</v>
      </c>
      <c r="D44" s="3">
        <v>0</v>
      </c>
      <c r="E44" s="3">
        <v>10</v>
      </c>
      <c r="F44" s="3">
        <v>13</v>
      </c>
      <c r="G44" s="3">
        <v>0</v>
      </c>
    </row>
    <row r="45" spans="2:7" ht="16.5" x14ac:dyDescent="0.15">
      <c r="B45" s="3">
        <v>43</v>
      </c>
      <c r="C45" s="3">
        <v>1038</v>
      </c>
      <c r="D45" s="3">
        <v>0</v>
      </c>
      <c r="E45" s="3">
        <v>10</v>
      </c>
      <c r="F45" s="3">
        <v>13</v>
      </c>
      <c r="G45" s="3">
        <v>0</v>
      </c>
    </row>
    <row r="46" spans="2:7" ht="16.5" x14ac:dyDescent="0.15">
      <c r="B46" s="3">
        <v>44</v>
      </c>
      <c r="C46" s="3">
        <v>1039</v>
      </c>
      <c r="D46" s="3">
        <v>0</v>
      </c>
      <c r="E46" s="3">
        <v>10</v>
      </c>
      <c r="F46" s="3">
        <v>13</v>
      </c>
      <c r="G46" s="3">
        <v>0</v>
      </c>
    </row>
    <row r="47" spans="2:7" ht="16.5" x14ac:dyDescent="0.15">
      <c r="B47" s="3">
        <v>45</v>
      </c>
      <c r="C47" s="3">
        <v>1040</v>
      </c>
      <c r="D47" s="3">
        <v>0</v>
      </c>
      <c r="E47" s="3">
        <v>10</v>
      </c>
      <c r="F47" s="3">
        <v>999999</v>
      </c>
      <c r="G47" s="3">
        <v>0</v>
      </c>
    </row>
    <row r="48" spans="2:7" ht="16.5" x14ac:dyDescent="0.15">
      <c r="B48" s="3">
        <v>46</v>
      </c>
      <c r="C48" s="3">
        <v>1041</v>
      </c>
      <c r="D48" s="9">
        <v>4020012</v>
      </c>
      <c r="E48" s="9">
        <v>4</v>
      </c>
      <c r="F48" s="9">
        <v>10</v>
      </c>
      <c r="G48" s="3">
        <v>0</v>
      </c>
    </row>
    <row r="49" spans="2:7" ht="16.5" x14ac:dyDescent="0.15">
      <c r="B49" s="3">
        <v>47</v>
      </c>
      <c r="C49" s="3">
        <v>1042</v>
      </c>
      <c r="D49" s="9">
        <v>4020012</v>
      </c>
      <c r="E49" s="9">
        <v>4</v>
      </c>
      <c r="F49" s="9">
        <v>20</v>
      </c>
      <c r="G49" s="3">
        <v>0</v>
      </c>
    </row>
    <row r="50" spans="2:7" ht="16.5" x14ac:dyDescent="0.15">
      <c r="B50" s="3">
        <v>48</v>
      </c>
      <c r="C50" s="3">
        <v>1043</v>
      </c>
      <c r="D50" s="9">
        <v>4020012</v>
      </c>
      <c r="E50" s="9">
        <v>4</v>
      </c>
      <c r="F50" s="9">
        <v>30</v>
      </c>
      <c r="G50" s="3">
        <v>0</v>
      </c>
    </row>
    <row r="51" spans="2:7" ht="16.5" x14ac:dyDescent="0.15">
      <c r="B51" s="3">
        <v>49</v>
      </c>
      <c r="C51" s="3">
        <v>1044</v>
      </c>
      <c r="D51" s="9">
        <v>4020012</v>
      </c>
      <c r="E51" s="9">
        <v>4</v>
      </c>
      <c r="F51" s="9">
        <v>40</v>
      </c>
      <c r="G51" s="3">
        <v>0</v>
      </c>
    </row>
    <row r="52" spans="2:7" ht="16.5" x14ac:dyDescent="0.15">
      <c r="B52" s="3">
        <v>50</v>
      </c>
      <c r="C52" s="3">
        <v>1045</v>
      </c>
      <c r="D52" s="9">
        <v>4020012</v>
      </c>
      <c r="E52" s="9">
        <v>4</v>
      </c>
      <c r="F52" s="9">
        <v>50</v>
      </c>
      <c r="G52" s="3">
        <v>0</v>
      </c>
    </row>
    <row r="53" spans="2:7" ht="16.5" x14ac:dyDescent="0.15">
      <c r="B53" s="3">
        <v>51</v>
      </c>
      <c r="C53" s="3">
        <v>1046</v>
      </c>
      <c r="D53" s="9">
        <v>4020012</v>
      </c>
      <c r="E53" s="9">
        <v>4</v>
      </c>
      <c r="F53" s="9">
        <v>60</v>
      </c>
      <c r="G53" s="3">
        <v>0</v>
      </c>
    </row>
    <row r="54" spans="2:7" ht="16.5" x14ac:dyDescent="0.15">
      <c r="B54" s="3">
        <v>52</v>
      </c>
      <c r="C54" s="3">
        <v>1047</v>
      </c>
      <c r="D54" s="9">
        <v>4020012</v>
      </c>
      <c r="E54" s="9">
        <v>4</v>
      </c>
      <c r="F54" s="9">
        <v>70</v>
      </c>
      <c r="G54" s="3">
        <v>0</v>
      </c>
    </row>
    <row r="55" spans="2:7" ht="16.5" x14ac:dyDescent="0.15">
      <c r="B55" s="3">
        <v>53</v>
      </c>
      <c r="C55" s="3">
        <v>1048</v>
      </c>
      <c r="D55" s="9">
        <v>4020012</v>
      </c>
      <c r="E55" s="9">
        <v>4</v>
      </c>
      <c r="F55" s="9">
        <v>80</v>
      </c>
      <c r="G55" s="3">
        <v>0</v>
      </c>
    </row>
    <row r="56" spans="2:7" ht="16.5" x14ac:dyDescent="0.15">
      <c r="B56" s="3">
        <v>54</v>
      </c>
      <c r="C56" s="3">
        <v>1049</v>
      </c>
      <c r="D56" s="9">
        <v>4020012</v>
      </c>
      <c r="E56" s="9">
        <v>4</v>
      </c>
      <c r="F56" s="9">
        <v>90</v>
      </c>
      <c r="G56" s="3">
        <v>0</v>
      </c>
    </row>
    <row r="57" spans="2:7" ht="16.5" x14ac:dyDescent="0.15">
      <c r="B57" s="3">
        <v>55</v>
      </c>
      <c r="C57" s="3">
        <v>1050</v>
      </c>
      <c r="D57" s="9">
        <v>4020012</v>
      </c>
      <c r="E57" s="9">
        <v>4</v>
      </c>
      <c r="F57" s="9">
        <v>100</v>
      </c>
      <c r="G57" s="3">
        <v>0</v>
      </c>
    </row>
    <row r="58" spans="2:7" ht="16.5" x14ac:dyDescent="0.15">
      <c r="B58" s="3">
        <v>56</v>
      </c>
      <c r="C58" s="3">
        <v>1051</v>
      </c>
      <c r="D58" s="9">
        <v>4020012</v>
      </c>
      <c r="E58" s="9">
        <v>4</v>
      </c>
      <c r="F58" s="9">
        <v>110</v>
      </c>
      <c r="G58" s="3">
        <v>0</v>
      </c>
    </row>
    <row r="59" spans="2:7" ht="16.5" x14ac:dyDescent="0.15">
      <c r="B59" s="3">
        <v>57</v>
      </c>
      <c r="C59" s="3">
        <v>1052</v>
      </c>
      <c r="D59" s="9">
        <v>4020012</v>
      </c>
      <c r="E59" s="9">
        <v>4</v>
      </c>
      <c r="F59" s="9">
        <v>120</v>
      </c>
      <c r="G59" s="3">
        <v>0</v>
      </c>
    </row>
    <row r="60" spans="2:7" ht="16.5" x14ac:dyDescent="0.15">
      <c r="B60" s="3">
        <v>58</v>
      </c>
      <c r="C60" s="3">
        <v>1053</v>
      </c>
      <c r="D60" s="9">
        <v>4020012</v>
      </c>
      <c r="E60" s="9">
        <v>4</v>
      </c>
      <c r="F60" s="9">
        <v>130</v>
      </c>
      <c r="G60" s="3">
        <v>0</v>
      </c>
    </row>
    <row r="61" spans="2:7" ht="16.5" x14ac:dyDescent="0.15">
      <c r="B61" s="3">
        <v>59</v>
      </c>
      <c r="C61" s="3">
        <v>1054</v>
      </c>
      <c r="D61" s="9">
        <v>4020012</v>
      </c>
      <c r="E61" s="9">
        <v>4</v>
      </c>
      <c r="F61" s="9">
        <v>140</v>
      </c>
      <c r="G61" s="3">
        <v>0</v>
      </c>
    </row>
    <row r="62" spans="2:7" ht="16.5" x14ac:dyDescent="0.15">
      <c r="B62" s="3">
        <v>60</v>
      </c>
      <c r="C62" s="3">
        <v>1055</v>
      </c>
      <c r="D62" s="9">
        <v>4020012</v>
      </c>
      <c r="E62" s="9">
        <v>4</v>
      </c>
      <c r="F62" s="9">
        <v>150</v>
      </c>
      <c r="G62" s="3">
        <v>0</v>
      </c>
    </row>
    <row r="63" spans="2:7" ht="16.5" x14ac:dyDescent="0.15">
      <c r="B63" s="3">
        <v>61</v>
      </c>
      <c r="C63" s="3">
        <v>1056</v>
      </c>
      <c r="D63" s="9">
        <v>0</v>
      </c>
      <c r="E63" s="9">
        <v>3</v>
      </c>
      <c r="F63" s="9">
        <v>120</v>
      </c>
      <c r="G63" s="9">
        <v>0</v>
      </c>
    </row>
    <row r="64" spans="2:7" ht="16.5" x14ac:dyDescent="0.15">
      <c r="B64" s="3">
        <v>62</v>
      </c>
      <c r="C64" s="3">
        <v>1057</v>
      </c>
      <c r="D64" s="9">
        <v>0</v>
      </c>
      <c r="E64" s="9">
        <v>3</v>
      </c>
      <c r="F64" s="9">
        <v>80</v>
      </c>
      <c r="G64" s="9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t_task_reward.t_task_reward">
                <anchor moveWithCells="1">
                  <from>
                    <xdr:col>0</xdr:col>
                    <xdr:colOff>38100</xdr:colOff>
                    <xdr:row>1</xdr:row>
                    <xdr:rowOff>114300</xdr:rowOff>
                  </from>
                  <to>
                    <xdr:col>0</xdr:col>
                    <xdr:colOff>942975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J17"/>
  <sheetViews>
    <sheetView workbookViewId="0">
      <selection activeCell="F40" sqref="F40"/>
    </sheetView>
  </sheetViews>
  <sheetFormatPr defaultRowHeight="14.25" x14ac:dyDescent="0.15"/>
  <cols>
    <col min="1" max="1" width="14.125" customWidth="1"/>
    <col min="3" max="3" width="10" customWidth="1"/>
    <col min="9" max="9" width="17.125" customWidth="1"/>
    <col min="10" max="10" width="13.5" customWidth="1"/>
  </cols>
  <sheetData>
    <row r="1" spans="2:10" ht="16.5" x14ac:dyDescent="0.15">
      <c r="B1" s="3" t="s">
        <v>37</v>
      </c>
      <c r="C1" s="3" t="s">
        <v>106</v>
      </c>
      <c r="D1" s="3" t="s">
        <v>38</v>
      </c>
      <c r="E1" s="3" t="s">
        <v>39</v>
      </c>
      <c r="F1" s="3" t="s">
        <v>40</v>
      </c>
      <c r="G1" s="3" t="s">
        <v>41</v>
      </c>
      <c r="I1" s="6" t="s">
        <v>92</v>
      </c>
      <c r="J1" s="6"/>
    </row>
    <row r="2" spans="2:10" ht="16.5" x14ac:dyDescent="0.15">
      <c r="B2" s="3" t="s">
        <v>180</v>
      </c>
      <c r="C2" s="3" t="s">
        <v>107</v>
      </c>
      <c r="D2" s="3" t="s">
        <v>43</v>
      </c>
      <c r="E2" s="3" t="s">
        <v>44</v>
      </c>
      <c r="F2" s="3" t="s">
        <v>45</v>
      </c>
      <c r="G2" s="3" t="s">
        <v>46</v>
      </c>
      <c r="I2" s="7" t="s">
        <v>93</v>
      </c>
      <c r="J2" s="6" t="s">
        <v>94</v>
      </c>
    </row>
    <row r="3" spans="2:10" ht="16.5" x14ac:dyDescent="0.15">
      <c r="B3" s="3">
        <v>1</v>
      </c>
      <c r="C3" s="6">
        <v>30</v>
      </c>
      <c r="D3" s="6">
        <v>82005</v>
      </c>
      <c r="E3" s="6">
        <v>1</v>
      </c>
      <c r="F3" s="6">
        <v>1</v>
      </c>
      <c r="G3" s="6">
        <v>0</v>
      </c>
      <c r="I3" s="7" t="s">
        <v>95</v>
      </c>
      <c r="J3" s="6" t="s">
        <v>96</v>
      </c>
    </row>
    <row r="4" spans="2:10" ht="16.5" x14ac:dyDescent="0.15">
      <c r="B4" s="3">
        <v>2</v>
      </c>
      <c r="C4" s="6">
        <v>30</v>
      </c>
      <c r="D4" s="6">
        <v>0</v>
      </c>
      <c r="E4" s="6">
        <v>2</v>
      </c>
      <c r="F4" s="6">
        <v>5000</v>
      </c>
      <c r="G4" s="6">
        <v>0</v>
      </c>
      <c r="I4" s="7" t="s">
        <v>97</v>
      </c>
      <c r="J4" s="6" t="s">
        <v>96</v>
      </c>
    </row>
    <row r="5" spans="2:10" ht="16.5" x14ac:dyDescent="0.15">
      <c r="B5" s="3">
        <v>3</v>
      </c>
      <c r="C5" s="6">
        <v>30</v>
      </c>
      <c r="D5" s="6">
        <v>0</v>
      </c>
      <c r="E5" s="6">
        <v>3</v>
      </c>
      <c r="F5" s="6">
        <v>50</v>
      </c>
      <c r="G5" s="6">
        <v>0</v>
      </c>
      <c r="I5" s="7" t="s">
        <v>98</v>
      </c>
      <c r="J5" s="6" t="s">
        <v>99</v>
      </c>
    </row>
    <row r="6" spans="2:10" ht="16.5" x14ac:dyDescent="0.15">
      <c r="B6" s="3">
        <v>4</v>
      </c>
      <c r="C6" s="6">
        <v>60</v>
      </c>
      <c r="D6" s="6">
        <v>82005</v>
      </c>
      <c r="E6" s="6">
        <v>1</v>
      </c>
      <c r="F6" s="6">
        <v>1</v>
      </c>
      <c r="G6" s="6">
        <v>0</v>
      </c>
      <c r="I6" s="7" t="s">
        <v>100</v>
      </c>
      <c r="J6" s="6" t="s">
        <v>96</v>
      </c>
    </row>
    <row r="7" spans="2:10" ht="16.5" x14ac:dyDescent="0.15">
      <c r="B7" s="3">
        <v>5</v>
      </c>
      <c r="C7" s="6">
        <v>60</v>
      </c>
      <c r="D7" s="6">
        <v>0</v>
      </c>
      <c r="E7" s="6">
        <v>2</v>
      </c>
      <c r="F7" s="6">
        <v>10000</v>
      </c>
      <c r="G7" s="6">
        <v>0</v>
      </c>
      <c r="I7" s="7" t="s">
        <v>101</v>
      </c>
      <c r="J7" s="6"/>
    </row>
    <row r="8" spans="2:10" ht="16.5" x14ac:dyDescent="0.15">
      <c r="B8" s="3">
        <v>6</v>
      </c>
      <c r="C8" s="6">
        <v>60</v>
      </c>
      <c r="D8" s="6">
        <v>0</v>
      </c>
      <c r="E8" s="6">
        <v>3</v>
      </c>
      <c r="F8" s="6">
        <v>100</v>
      </c>
      <c r="G8" s="6">
        <v>0</v>
      </c>
      <c r="I8" s="7" t="s">
        <v>102</v>
      </c>
      <c r="J8" s="6"/>
    </row>
    <row r="9" spans="2:10" ht="16.5" x14ac:dyDescent="0.15">
      <c r="B9" s="3">
        <v>7</v>
      </c>
      <c r="C9" s="6">
        <v>90</v>
      </c>
      <c r="D9" s="6">
        <v>82005</v>
      </c>
      <c r="E9" s="6">
        <v>1</v>
      </c>
      <c r="F9" s="6">
        <v>1</v>
      </c>
      <c r="G9" s="6">
        <v>0</v>
      </c>
      <c r="I9" s="7" t="s">
        <v>103</v>
      </c>
      <c r="J9" s="6" t="s">
        <v>96</v>
      </c>
    </row>
    <row r="10" spans="2:10" ht="16.5" x14ac:dyDescent="0.15">
      <c r="B10" s="3">
        <v>8</v>
      </c>
      <c r="C10" s="6">
        <v>90</v>
      </c>
      <c r="D10" s="6">
        <v>0</v>
      </c>
      <c r="E10" s="6">
        <v>2</v>
      </c>
      <c r="F10" s="6">
        <v>15000</v>
      </c>
      <c r="G10" s="6">
        <v>0</v>
      </c>
      <c r="I10" s="7" t="s">
        <v>104</v>
      </c>
      <c r="J10" s="6" t="s">
        <v>96</v>
      </c>
    </row>
    <row r="11" spans="2:10" ht="16.5" x14ac:dyDescent="0.15">
      <c r="B11" s="3">
        <v>9</v>
      </c>
      <c r="C11" s="6">
        <v>90</v>
      </c>
      <c r="D11" s="6">
        <v>0</v>
      </c>
      <c r="E11" s="6">
        <v>3</v>
      </c>
      <c r="F11" s="6">
        <v>150</v>
      </c>
      <c r="G11" s="6">
        <v>0</v>
      </c>
      <c r="I11" s="7" t="s">
        <v>105</v>
      </c>
      <c r="J11" s="6" t="s">
        <v>96</v>
      </c>
    </row>
    <row r="12" spans="2:10" ht="16.5" x14ac:dyDescent="0.15">
      <c r="B12" s="3">
        <v>10</v>
      </c>
      <c r="C12" s="6">
        <v>120</v>
      </c>
      <c r="D12" s="6">
        <v>82005</v>
      </c>
      <c r="E12" s="6">
        <v>1</v>
      </c>
      <c r="F12" s="6">
        <v>1</v>
      </c>
      <c r="G12" s="6">
        <v>0</v>
      </c>
    </row>
    <row r="13" spans="2:10" ht="16.5" x14ac:dyDescent="0.15">
      <c r="B13" s="3">
        <v>11</v>
      </c>
      <c r="C13" s="6">
        <v>120</v>
      </c>
      <c r="D13" s="6">
        <v>0</v>
      </c>
      <c r="E13" s="6">
        <v>2</v>
      </c>
      <c r="F13" s="6">
        <v>20000</v>
      </c>
      <c r="G13" s="6">
        <v>0</v>
      </c>
    </row>
    <row r="14" spans="2:10" ht="16.5" x14ac:dyDescent="0.15">
      <c r="B14" s="3">
        <v>12</v>
      </c>
      <c r="C14" s="6">
        <v>120</v>
      </c>
      <c r="D14" s="6">
        <v>0</v>
      </c>
      <c r="E14" s="6">
        <v>3</v>
      </c>
      <c r="F14" s="6">
        <v>200</v>
      </c>
      <c r="G14" s="6">
        <v>0</v>
      </c>
    </row>
    <row r="15" spans="2:10" ht="16.5" x14ac:dyDescent="0.15">
      <c r="B15" s="3">
        <v>13</v>
      </c>
      <c r="C15" s="9">
        <v>150</v>
      </c>
      <c r="D15" s="6">
        <v>82005</v>
      </c>
      <c r="E15" s="6">
        <v>1</v>
      </c>
      <c r="F15" s="6">
        <v>1</v>
      </c>
      <c r="G15" s="9">
        <v>0</v>
      </c>
    </row>
    <row r="16" spans="2:10" ht="16.5" x14ac:dyDescent="0.15">
      <c r="B16" s="3">
        <v>14</v>
      </c>
      <c r="C16" s="3">
        <v>150</v>
      </c>
      <c r="D16" s="6">
        <v>0</v>
      </c>
      <c r="E16" s="6">
        <v>2</v>
      </c>
      <c r="F16" s="6">
        <v>40000</v>
      </c>
      <c r="G16" s="3">
        <v>0</v>
      </c>
    </row>
    <row r="17" spans="2:7" ht="16.5" x14ac:dyDescent="0.15">
      <c r="B17" s="3">
        <v>15</v>
      </c>
      <c r="C17" s="3">
        <v>150</v>
      </c>
      <c r="D17" s="6">
        <v>0</v>
      </c>
      <c r="E17" s="6">
        <v>3</v>
      </c>
      <c r="F17" s="6">
        <v>400</v>
      </c>
      <c r="G17" s="3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t_task_box_reward.t_task_box_reward">
                <anchor moveWithCells="1">
                  <from>
                    <xdr:col>0</xdr:col>
                    <xdr:colOff>66675</xdr:colOff>
                    <xdr:row>1</xdr:row>
                    <xdr:rowOff>66675</xdr:rowOff>
                  </from>
                  <to>
                    <xdr:col>0</xdr:col>
                    <xdr:colOff>981075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34"/>
  <sheetViews>
    <sheetView zoomScaleSheetLayoutView="100" workbookViewId="0">
      <selection activeCell="E6" sqref="E6"/>
    </sheetView>
  </sheetViews>
  <sheetFormatPr defaultColWidth="9" defaultRowHeight="14.25" x14ac:dyDescent="0.15"/>
  <cols>
    <col min="1" max="1" width="31.375" customWidth="1"/>
    <col min="2" max="2" width="19.5" customWidth="1"/>
    <col min="3" max="3" width="17.25" customWidth="1"/>
    <col min="4" max="4" width="16.875" customWidth="1"/>
    <col min="5" max="5" width="18.75" customWidth="1"/>
  </cols>
  <sheetData>
    <row r="1" spans="1:5" x14ac:dyDescent="0.15">
      <c r="A1" t="s">
        <v>47</v>
      </c>
      <c r="B1" t="s">
        <v>48</v>
      </c>
    </row>
    <row r="3" spans="1:5" s="1" customFormat="1" x14ac:dyDescent="0.15">
      <c r="A3" s="1" t="s">
        <v>49</v>
      </c>
      <c r="B3" s="1" t="s">
        <v>50</v>
      </c>
      <c r="C3" s="1" t="s">
        <v>51</v>
      </c>
      <c r="D3" s="1" t="s">
        <v>52</v>
      </c>
      <c r="E3" s="19" t="s">
        <v>295</v>
      </c>
    </row>
    <row r="4" spans="1:5" x14ac:dyDescent="0.15">
      <c r="A4" s="2" t="s">
        <v>141</v>
      </c>
      <c r="B4" t="s">
        <v>53</v>
      </c>
      <c r="C4" s="2" t="s">
        <v>142</v>
      </c>
      <c r="D4" s="2" t="s">
        <v>297</v>
      </c>
      <c r="E4" s="2" t="s">
        <v>280</v>
      </c>
    </row>
    <row r="6" spans="1:5" s="1" customFormat="1" x14ac:dyDescent="0.15">
      <c r="A6" s="1" t="s">
        <v>54</v>
      </c>
      <c r="B6" s="1" t="s">
        <v>55</v>
      </c>
      <c r="C6" s="1" t="s">
        <v>286</v>
      </c>
      <c r="D6" s="1" t="s">
        <v>287</v>
      </c>
      <c r="E6" s="19" t="s">
        <v>393</v>
      </c>
    </row>
    <row r="7" spans="1:5" x14ac:dyDescent="0.15">
      <c r="A7" s="2" t="s">
        <v>130</v>
      </c>
      <c r="B7" s="2" t="s">
        <v>137</v>
      </c>
      <c r="C7" s="2" t="s">
        <v>288</v>
      </c>
      <c r="D7" s="2" t="s">
        <v>289</v>
      </c>
      <c r="E7" t="s">
        <v>392</v>
      </c>
    </row>
    <row r="9" spans="1:5" s="1" customFormat="1" x14ac:dyDescent="0.15">
      <c r="A9" s="1" t="s">
        <v>57</v>
      </c>
    </row>
    <row r="10" spans="1:5" x14ac:dyDescent="0.15">
      <c r="A10" s="2" t="s">
        <v>131</v>
      </c>
    </row>
    <row r="12" spans="1:5" s="1" customFormat="1" x14ac:dyDescent="0.15">
      <c r="A12" s="1" t="s">
        <v>58</v>
      </c>
    </row>
    <row r="13" spans="1:5" x14ac:dyDescent="0.15">
      <c r="A13" s="2" t="s">
        <v>132</v>
      </c>
    </row>
    <row r="15" spans="1:5" s="1" customFormat="1" x14ac:dyDescent="0.15">
      <c r="A15" s="19" t="s">
        <v>292</v>
      </c>
      <c r="B15" s="1" t="s">
        <v>59</v>
      </c>
      <c r="C15" s="1" t="s">
        <v>60</v>
      </c>
      <c r="D15" s="1" t="s">
        <v>52</v>
      </c>
      <c r="E15" s="19" t="s">
        <v>294</v>
      </c>
    </row>
    <row r="16" spans="1:5" x14ac:dyDescent="0.15">
      <c r="A16" s="2" t="s">
        <v>139</v>
      </c>
      <c r="B16" t="s">
        <v>61</v>
      </c>
      <c r="C16" s="2" t="s">
        <v>168</v>
      </c>
      <c r="D16" s="2" t="s">
        <v>285</v>
      </c>
      <c r="E16" s="2" t="s">
        <v>280</v>
      </c>
    </row>
    <row r="18" spans="1:3" s="1" customFormat="1" x14ac:dyDescent="0.15">
      <c r="A18" s="1" t="s">
        <v>62</v>
      </c>
      <c r="B18" s="1" t="s">
        <v>63</v>
      </c>
      <c r="C18" s="1" t="s">
        <v>64</v>
      </c>
    </row>
    <row r="19" spans="1:3" x14ac:dyDescent="0.15">
      <c r="A19" t="s">
        <v>133</v>
      </c>
      <c r="B19" t="s">
        <v>34</v>
      </c>
      <c r="C19" t="s">
        <v>44</v>
      </c>
    </row>
    <row r="21" spans="1:3" s="1" customFormat="1" x14ac:dyDescent="0.15">
      <c r="A21" s="1" t="s">
        <v>65</v>
      </c>
      <c r="B21" s="1" t="s">
        <v>66</v>
      </c>
    </row>
    <row r="22" spans="1:3" x14ac:dyDescent="0.15">
      <c r="A22" t="s">
        <v>167</v>
      </c>
      <c r="B22" s="2" t="s">
        <v>166</v>
      </c>
    </row>
    <row r="24" spans="1:3" s="1" customFormat="1" x14ac:dyDescent="0.15">
      <c r="A24" s="1" t="s">
        <v>67</v>
      </c>
      <c r="B24" s="1" t="s">
        <v>50</v>
      </c>
    </row>
    <row r="25" spans="1:3" x14ac:dyDescent="0.15">
      <c r="A25" s="2" t="s">
        <v>134</v>
      </c>
      <c r="B25" t="s">
        <v>53</v>
      </c>
    </row>
    <row r="27" spans="1:3" s="1" customFormat="1" x14ac:dyDescent="0.15">
      <c r="A27" s="1" t="s">
        <v>68</v>
      </c>
      <c r="B27" s="1" t="s">
        <v>69</v>
      </c>
      <c r="C27" s="1" t="s">
        <v>70</v>
      </c>
    </row>
    <row r="28" spans="1:3" x14ac:dyDescent="0.15">
      <c r="A28" s="2" t="s">
        <v>148</v>
      </c>
      <c r="B28" t="s">
        <v>71</v>
      </c>
      <c r="C28" s="2" t="s">
        <v>300</v>
      </c>
    </row>
    <row r="30" spans="1:3" s="1" customFormat="1" x14ac:dyDescent="0.15">
      <c r="A30" s="19" t="s">
        <v>380</v>
      </c>
    </row>
    <row r="31" spans="1:3" x14ac:dyDescent="0.15">
      <c r="A31" s="2" t="s">
        <v>379</v>
      </c>
    </row>
    <row r="33" spans="1:3" s="1" customFormat="1" x14ac:dyDescent="0.15">
      <c r="A33" s="1" t="s">
        <v>347</v>
      </c>
      <c r="B33" s="19" t="s">
        <v>350</v>
      </c>
      <c r="C33" s="19" t="s">
        <v>351</v>
      </c>
    </row>
    <row r="34" spans="1:3" x14ac:dyDescent="0.15">
      <c r="A34" t="s">
        <v>346</v>
      </c>
      <c r="B34" t="s">
        <v>348</v>
      </c>
      <c r="C34" t="s">
        <v>349</v>
      </c>
    </row>
  </sheetData>
  <phoneticPr fontId="1" type="noConversion"/>
  <pageMargins left="0.75" right="0.75" top="1" bottom="1" header="0.51111111111111107" footer="0.51111111111111107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3"/>
  <sheetViews>
    <sheetView topLeftCell="A10" zoomScaleSheetLayoutView="100" workbookViewId="0">
      <selection activeCell="C40" sqref="C40"/>
    </sheetView>
  </sheetViews>
  <sheetFormatPr defaultColWidth="9" defaultRowHeight="14.25" x14ac:dyDescent="0.15"/>
  <cols>
    <col min="1" max="1" width="36.625" customWidth="1"/>
    <col min="2" max="2" width="21" customWidth="1"/>
    <col min="3" max="3" width="16.75" customWidth="1"/>
    <col min="4" max="4" width="27.375" customWidth="1"/>
  </cols>
  <sheetData>
    <row r="1" spans="1:4" x14ac:dyDescent="0.15">
      <c r="A1" t="s">
        <v>72</v>
      </c>
      <c r="B1" t="s">
        <v>73</v>
      </c>
      <c r="C1" t="s">
        <v>74</v>
      </c>
    </row>
    <row r="3" spans="1:4" s="1" customFormat="1" x14ac:dyDescent="0.15">
      <c r="A3" s="1" t="s">
        <v>75</v>
      </c>
      <c r="B3" s="1" t="s">
        <v>73</v>
      </c>
    </row>
    <row r="4" spans="1:4" x14ac:dyDescent="0.15">
      <c r="A4" s="2" t="s">
        <v>169</v>
      </c>
      <c r="B4" t="s">
        <v>33</v>
      </c>
    </row>
    <row r="6" spans="1:4" s="1" customFormat="1" x14ac:dyDescent="0.15">
      <c r="A6" s="1" t="s">
        <v>76</v>
      </c>
      <c r="B6" s="1" t="s">
        <v>73</v>
      </c>
      <c r="C6" s="1" t="s">
        <v>77</v>
      </c>
      <c r="D6" s="1" t="s">
        <v>78</v>
      </c>
    </row>
    <row r="7" spans="1:4" x14ac:dyDescent="0.15">
      <c r="A7" t="s">
        <v>136</v>
      </c>
      <c r="B7" t="s">
        <v>135</v>
      </c>
      <c r="C7" t="s">
        <v>79</v>
      </c>
      <c r="D7" t="s">
        <v>56</v>
      </c>
    </row>
    <row r="9" spans="1:4" s="1" customFormat="1" x14ac:dyDescent="0.15">
      <c r="A9" s="1" t="s">
        <v>80</v>
      </c>
      <c r="B9" s="1" t="s">
        <v>73</v>
      </c>
      <c r="C9" s="1" t="s">
        <v>77</v>
      </c>
    </row>
    <row r="10" spans="1:4" x14ac:dyDescent="0.15">
      <c r="A10" t="s">
        <v>35</v>
      </c>
      <c r="B10" t="s">
        <v>81</v>
      </c>
      <c r="C10" t="s">
        <v>79</v>
      </c>
    </row>
    <row r="12" spans="1:4" s="1" customFormat="1" x14ac:dyDescent="0.15">
      <c r="A12" s="1" t="s">
        <v>82</v>
      </c>
      <c r="B12" s="1" t="s">
        <v>73</v>
      </c>
      <c r="C12" s="1" t="s">
        <v>77</v>
      </c>
    </row>
    <row r="13" spans="1:4" x14ac:dyDescent="0.15">
      <c r="A13" s="2" t="s">
        <v>138</v>
      </c>
      <c r="B13" t="s">
        <v>81</v>
      </c>
      <c r="C13" t="s">
        <v>79</v>
      </c>
    </row>
    <row r="15" spans="1:4" s="1" customFormat="1" x14ac:dyDescent="0.15">
      <c r="A15" s="1" t="s">
        <v>83</v>
      </c>
      <c r="B15" s="1" t="s">
        <v>73</v>
      </c>
      <c r="C15" s="1" t="s">
        <v>84</v>
      </c>
    </row>
    <row r="16" spans="1:4" x14ac:dyDescent="0.15">
      <c r="A16" s="2" t="s">
        <v>147</v>
      </c>
      <c r="B16" t="s">
        <v>85</v>
      </c>
      <c r="C16" t="s">
        <v>86</v>
      </c>
    </row>
    <row r="18" spans="1:2" s="1" customFormat="1" x14ac:dyDescent="0.15">
      <c r="A18" s="1" t="s">
        <v>87</v>
      </c>
      <c r="B18" s="1" t="s">
        <v>73</v>
      </c>
    </row>
    <row r="19" spans="1:2" x14ac:dyDescent="0.15">
      <c r="A19" s="2" t="s">
        <v>140</v>
      </c>
      <c r="B19" t="s">
        <v>33</v>
      </c>
    </row>
    <row r="21" spans="1:2" s="1" customFormat="1" x14ac:dyDescent="0.15">
      <c r="A21" s="1" t="s">
        <v>88</v>
      </c>
      <c r="B21" s="1" t="s">
        <v>73</v>
      </c>
    </row>
    <row r="22" spans="1:2" x14ac:dyDescent="0.15">
      <c r="A22" t="s">
        <v>89</v>
      </c>
      <c r="B22" t="s">
        <v>33</v>
      </c>
    </row>
    <row r="24" spans="1:2" x14ac:dyDescent="0.15">
      <c r="A24" s="1" t="s">
        <v>170</v>
      </c>
      <c r="B24" s="1" t="s">
        <v>73</v>
      </c>
    </row>
    <row r="25" spans="1:2" x14ac:dyDescent="0.15">
      <c r="A25" t="s">
        <v>171</v>
      </c>
      <c r="B25" t="s">
        <v>33</v>
      </c>
    </row>
    <row r="27" spans="1:2" x14ac:dyDescent="0.15">
      <c r="A27" s="1" t="s">
        <v>172</v>
      </c>
      <c r="B27" s="1" t="s">
        <v>73</v>
      </c>
    </row>
    <row r="28" spans="1:2" x14ac:dyDescent="0.15">
      <c r="A28" t="s">
        <v>173</v>
      </c>
      <c r="B28" t="s">
        <v>33</v>
      </c>
    </row>
    <row r="30" spans="1:2" x14ac:dyDescent="0.15">
      <c r="A30" s="1" t="s">
        <v>174</v>
      </c>
      <c r="B30" s="1" t="s">
        <v>73</v>
      </c>
    </row>
    <row r="31" spans="1:2" x14ac:dyDescent="0.15">
      <c r="A31" t="s">
        <v>175</v>
      </c>
      <c r="B31" t="s">
        <v>33</v>
      </c>
    </row>
    <row r="33" spans="1:3" x14ac:dyDescent="0.15">
      <c r="A33" s="1" t="s">
        <v>176</v>
      </c>
      <c r="B33" s="1" t="s">
        <v>73</v>
      </c>
    </row>
    <row r="34" spans="1:3" x14ac:dyDescent="0.15">
      <c r="A34" t="s">
        <v>177</v>
      </c>
      <c r="B34" t="s">
        <v>33</v>
      </c>
    </row>
    <row r="36" spans="1:3" x14ac:dyDescent="0.15">
      <c r="A36" s="1" t="s">
        <v>178</v>
      </c>
      <c r="B36" s="1" t="s">
        <v>73</v>
      </c>
    </row>
    <row r="37" spans="1:3" x14ac:dyDescent="0.15">
      <c r="A37" t="s">
        <v>179</v>
      </c>
      <c r="B37" t="s">
        <v>33</v>
      </c>
    </row>
    <row r="39" spans="1:3" s="1" customFormat="1" x14ac:dyDescent="0.15">
      <c r="A39" s="19" t="s">
        <v>381</v>
      </c>
      <c r="B39" s="1" t="s">
        <v>73</v>
      </c>
      <c r="C39" s="19" t="s">
        <v>384</v>
      </c>
    </row>
    <row r="40" spans="1:3" x14ac:dyDescent="0.15">
      <c r="A40" s="2" t="s">
        <v>339</v>
      </c>
      <c r="B40" s="2" t="s">
        <v>382</v>
      </c>
      <c r="C40" s="2" t="s">
        <v>383</v>
      </c>
    </row>
    <row r="41" spans="1:3" x14ac:dyDescent="0.15">
      <c r="A41" s="2"/>
    </row>
    <row r="42" spans="1:3" s="1" customFormat="1" x14ac:dyDescent="0.15">
      <c r="A42" s="19" t="s">
        <v>344</v>
      </c>
      <c r="C42" s="1" t="s">
        <v>342</v>
      </c>
    </row>
    <row r="43" spans="1:3" x14ac:dyDescent="0.15">
      <c r="A43" t="s">
        <v>340</v>
      </c>
      <c r="B43" t="s">
        <v>343</v>
      </c>
      <c r="C43" t="s">
        <v>341</v>
      </c>
    </row>
  </sheetData>
  <phoneticPr fontId="1" type="noConversion"/>
  <pageMargins left="0.75" right="0.75" top="1" bottom="1" header="0.51111111111111107" footer="0.5111111111111110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zoomScaleSheetLayoutView="100" workbookViewId="0">
      <selection activeCell="A43" sqref="A43"/>
    </sheetView>
  </sheetViews>
  <sheetFormatPr defaultColWidth="9" defaultRowHeight="14.25" x14ac:dyDescent="0.15"/>
  <sheetData>
    <row r="1" spans="1:5" x14ac:dyDescent="0.15">
      <c r="A1" t="s">
        <v>90</v>
      </c>
      <c r="B1" t="s">
        <v>43</v>
      </c>
      <c r="C1" t="s">
        <v>44</v>
      </c>
      <c r="D1" t="s">
        <v>45</v>
      </c>
      <c r="E1" t="s">
        <v>46</v>
      </c>
    </row>
  </sheetData>
  <phoneticPr fontId="1" type="noConversion"/>
  <pageMargins left="0.75" right="0.75" top="1" bottom="1" header="0.51111111111111107" footer="0.51111111111111107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t_task_setting任务</vt:lpstr>
      <vt:lpstr>t_task_action_setting任务内容</vt:lpstr>
      <vt:lpstr>t_task_reward任务奖励</vt:lpstr>
      <vt:lpstr>t_task_box_reward活跃度奖励</vt:lpstr>
      <vt:lpstr>事件描述(不导入)</vt:lpstr>
      <vt:lpstr>准备方法说明(不导入)</vt:lpstr>
      <vt:lpstr>Sheet1</vt:lpstr>
    </vt:vector>
  </TitlesOfParts>
  <LinksUpToDate>false</LinksUpToDate>
  <CharactersWithSpaces>0</CharactersWithSpaces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</cp:lastModifiedBy>
  <cp:revision/>
  <dcterms:created xsi:type="dcterms:W3CDTF">2015-09-06T10:05:14Z</dcterms:created>
  <dcterms:modified xsi:type="dcterms:W3CDTF">2015-12-31T07:09:29Z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2052-9.1.0.5184</vt:lpwstr>
  </property>
</Properties>
</file>